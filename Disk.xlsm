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Учеба\МСС\МСС2\"/>
    </mc:Choice>
  </mc:AlternateContent>
  <bookViews>
    <workbookView xWindow="0" yWindow="0" windowWidth="23040" windowHeight="9528"/>
  </bookViews>
  <sheets>
    <sheet name="Диск" sheetId="8" r:id="rId1"/>
  </sheets>
  <calcPr calcId="152511"/>
</workbook>
</file>

<file path=xl/calcChain.xml><?xml version="1.0" encoding="utf-8"?>
<calcChain xmlns="http://schemas.openxmlformats.org/spreadsheetml/2006/main">
  <c r="I95" i="8" l="1"/>
  <c r="W95" i="8"/>
  <c r="W96" i="8" s="1"/>
  <c r="W97" i="8" s="1"/>
  <c r="I96" i="8"/>
  <c r="I97" i="8" s="1"/>
  <c r="W94" i="8"/>
  <c r="I94" i="8"/>
  <c r="AR111" i="8"/>
  <c r="BR135" i="8"/>
  <c r="BD133" i="8"/>
  <c r="BD134" i="8" s="1"/>
  <c r="BD135" i="8" s="1"/>
  <c r="BD132" i="8"/>
  <c r="BR133" i="8"/>
  <c r="BR134" i="8"/>
  <c r="BR132" i="8"/>
  <c r="BE94" i="8"/>
  <c r="BA120" i="8"/>
  <c r="BB119" i="8"/>
  <c r="BC117" i="8"/>
  <c r="BC118" i="8" s="1"/>
  <c r="BC119" i="8" s="1"/>
  <c r="BC120" i="8" s="1"/>
  <c r="BC121" i="8" s="1"/>
  <c r="BC122" i="8" s="1"/>
  <c r="BC123" i="8" s="1"/>
  <c r="BC124" i="8" s="1"/>
  <c r="BC125" i="8" s="1"/>
  <c r="BC126" i="8" s="1"/>
  <c r="BC127" i="8" s="1"/>
  <c r="BD114" i="8"/>
  <c r="BD115" i="8" s="1"/>
  <c r="BD116" i="8" s="1"/>
  <c r="BD117" i="8" s="1"/>
  <c r="BD118" i="8" s="1"/>
  <c r="BD119" i="8" s="1"/>
  <c r="BD120" i="8" s="1"/>
  <c r="BD121" i="8" s="1"/>
  <c r="BD122" i="8" s="1"/>
  <c r="BD123" i="8" s="1"/>
  <c r="BD124" i="8" s="1"/>
  <c r="BD125" i="8" s="1"/>
  <c r="BD126" i="8" s="1"/>
  <c r="BD127" i="8" s="1"/>
  <c r="BE113" i="8"/>
  <c r="BE114" i="8" s="1"/>
  <c r="BE115" i="8" s="1"/>
  <c r="BE116" i="8" s="1"/>
  <c r="BE117" i="8" s="1"/>
  <c r="BE118" i="8" s="1"/>
  <c r="BE119" i="8" s="1"/>
  <c r="BE120" i="8" s="1"/>
  <c r="BE121" i="8" s="1"/>
  <c r="BE122" i="8" s="1"/>
  <c r="BE123" i="8" s="1"/>
  <c r="BE124" i="8" s="1"/>
  <c r="BE125" i="8" s="1"/>
  <c r="BE126" i="8" s="1"/>
  <c r="BE127" i="8" s="1"/>
  <c r="BF112" i="8"/>
  <c r="BF113" i="8" s="1"/>
  <c r="BF114" i="8" s="1"/>
  <c r="BF115" i="8" s="1"/>
  <c r="BF116" i="8" s="1"/>
  <c r="BF117" i="8" s="1"/>
  <c r="BF118" i="8" s="1"/>
  <c r="BF119" i="8" s="1"/>
  <c r="BF120" i="8" s="1"/>
  <c r="BF121" i="8" s="1"/>
  <c r="BF122" i="8" s="1"/>
  <c r="BF123" i="8" s="1"/>
  <c r="BF124" i="8" s="1"/>
  <c r="BF125" i="8" s="1"/>
  <c r="BF126" i="8" s="1"/>
  <c r="BF127" i="8" s="1"/>
  <c r="BG111" i="8"/>
  <c r="BG112" i="8" s="1"/>
  <c r="BG113" i="8" s="1"/>
  <c r="BG114" i="8" s="1"/>
  <c r="BG115" i="8" s="1"/>
  <c r="BG116" i="8" s="1"/>
  <c r="BG117" i="8" s="1"/>
  <c r="BG118" i="8" s="1"/>
  <c r="BG119" i="8" s="1"/>
  <c r="BG120" i="8" s="1"/>
  <c r="BG121" i="8" s="1"/>
  <c r="BG122" i="8" s="1"/>
  <c r="BG123" i="8" s="1"/>
  <c r="BG124" i="8" s="1"/>
  <c r="BG125" i="8" s="1"/>
  <c r="BG126" i="8" s="1"/>
  <c r="BG127" i="8" s="1"/>
  <c r="BA121" i="8"/>
  <c r="BA122" i="8" s="1"/>
  <c r="BA123" i="8" s="1"/>
  <c r="BA124" i="8" s="1"/>
  <c r="BA125" i="8" s="1"/>
  <c r="BA126" i="8" s="1"/>
  <c r="BA127" i="8" s="1"/>
  <c r="BB120" i="8"/>
  <c r="BB121" i="8" s="1"/>
  <c r="BB122" i="8" s="1"/>
  <c r="BB123" i="8" s="1"/>
  <c r="BB124" i="8" s="1"/>
  <c r="BB125" i="8" s="1"/>
  <c r="BB126" i="8" s="1"/>
  <c r="BB127" i="8" s="1"/>
  <c r="BU120" i="8"/>
  <c r="BU121" i="8" s="1"/>
  <c r="BU122" i="8" s="1"/>
  <c r="BU123" i="8" s="1"/>
  <c r="BU124" i="8" s="1"/>
  <c r="BU125" i="8" s="1"/>
  <c r="BU126" i="8" s="1"/>
  <c r="BU127" i="8" s="1"/>
  <c r="BT119" i="8"/>
  <c r="BT120" i="8" s="1"/>
  <c r="BT121" i="8" s="1"/>
  <c r="BT122" i="8" s="1"/>
  <c r="BT123" i="8" s="1"/>
  <c r="BT124" i="8" s="1"/>
  <c r="BT125" i="8" s="1"/>
  <c r="BT126" i="8" s="1"/>
  <c r="BT127" i="8" s="1"/>
  <c r="BS117" i="8"/>
  <c r="BP112" i="8"/>
  <c r="BP113" i="8"/>
  <c r="BP114" i="8" s="1"/>
  <c r="BP115" i="8" s="1"/>
  <c r="BP116" i="8" s="1"/>
  <c r="BP117" i="8" s="1"/>
  <c r="BP118" i="8" s="1"/>
  <c r="BP119" i="8" s="1"/>
  <c r="BP120" i="8" s="1"/>
  <c r="BP121" i="8" s="1"/>
  <c r="BP122" i="8" s="1"/>
  <c r="BP123" i="8" s="1"/>
  <c r="BP124" i="8" s="1"/>
  <c r="BP125" i="8" s="1"/>
  <c r="BP126" i="8" s="1"/>
  <c r="BP127" i="8" s="1"/>
  <c r="BO111" i="8"/>
  <c r="BO112" i="8"/>
  <c r="BO113" i="8" s="1"/>
  <c r="BO114" i="8" s="1"/>
  <c r="BO115" i="8" s="1"/>
  <c r="BO116" i="8" s="1"/>
  <c r="BO117" i="8" s="1"/>
  <c r="BO118" i="8" s="1"/>
  <c r="BO119" i="8" s="1"/>
  <c r="BO120" i="8" s="1"/>
  <c r="BO121" i="8" s="1"/>
  <c r="BO122" i="8" s="1"/>
  <c r="BO123" i="8" s="1"/>
  <c r="BO124" i="8" s="1"/>
  <c r="BO125" i="8" s="1"/>
  <c r="BO126" i="8" s="1"/>
  <c r="BO127" i="8" s="1"/>
  <c r="BH101" i="8"/>
  <c r="BI101" i="8"/>
  <c r="BJ101" i="8"/>
  <c r="BK101" i="8"/>
  <c r="BL101" i="8"/>
  <c r="BM101" i="8"/>
  <c r="BN101" i="8"/>
  <c r="BN102" i="8" s="1"/>
  <c r="BN103" i="8" s="1"/>
  <c r="BN104" i="8" s="1"/>
  <c r="BN105" i="8" s="1"/>
  <c r="BN106" i="8" s="1"/>
  <c r="BN107" i="8" s="1"/>
  <c r="BN108" i="8" s="1"/>
  <c r="BN109" i="8" s="1"/>
  <c r="BN110" i="8" s="1"/>
  <c r="BN111" i="8" s="1"/>
  <c r="BH102" i="8"/>
  <c r="BH103" i="8" s="1"/>
  <c r="BH104" i="8" s="1"/>
  <c r="BH105" i="8" s="1"/>
  <c r="BH106" i="8" s="1"/>
  <c r="BH107" i="8" s="1"/>
  <c r="BH108" i="8" s="1"/>
  <c r="BH109" i="8" s="1"/>
  <c r="BH110" i="8" s="1"/>
  <c r="BH111" i="8" s="1"/>
  <c r="BH112" i="8" s="1"/>
  <c r="BH113" i="8" s="1"/>
  <c r="BH114" i="8" s="1"/>
  <c r="BH115" i="8" s="1"/>
  <c r="BH116" i="8" s="1"/>
  <c r="BH117" i="8" s="1"/>
  <c r="BH118" i="8" s="1"/>
  <c r="BH119" i="8" s="1"/>
  <c r="BH120" i="8" s="1"/>
  <c r="BH121" i="8" s="1"/>
  <c r="BH122" i="8" s="1"/>
  <c r="BH123" i="8" s="1"/>
  <c r="BH124" i="8" s="1"/>
  <c r="BH125" i="8" s="1"/>
  <c r="BH126" i="8" s="1"/>
  <c r="BH127" i="8" s="1"/>
  <c r="BI102" i="8"/>
  <c r="BJ102" i="8"/>
  <c r="BK102" i="8"/>
  <c r="BL102" i="8"/>
  <c r="BM102" i="8"/>
  <c r="BI103" i="8"/>
  <c r="BI104" i="8" s="1"/>
  <c r="BI105" i="8" s="1"/>
  <c r="BI106" i="8" s="1"/>
  <c r="BI107" i="8" s="1"/>
  <c r="BI108" i="8" s="1"/>
  <c r="BI109" i="8" s="1"/>
  <c r="BI110" i="8" s="1"/>
  <c r="BI111" i="8" s="1"/>
  <c r="BI112" i="8" s="1"/>
  <c r="BI113" i="8" s="1"/>
  <c r="BI114" i="8" s="1"/>
  <c r="BI115" i="8" s="1"/>
  <c r="BI116" i="8" s="1"/>
  <c r="BI117" i="8" s="1"/>
  <c r="BI118" i="8" s="1"/>
  <c r="BI119" i="8" s="1"/>
  <c r="BI120" i="8" s="1"/>
  <c r="BI121" i="8" s="1"/>
  <c r="BI122" i="8" s="1"/>
  <c r="BI123" i="8" s="1"/>
  <c r="BI124" i="8" s="1"/>
  <c r="BI125" i="8" s="1"/>
  <c r="BI126" i="8" s="1"/>
  <c r="BI127" i="8" s="1"/>
  <c r="BJ103" i="8"/>
  <c r="BK103" i="8"/>
  <c r="BL103" i="8"/>
  <c r="BM103" i="8"/>
  <c r="BJ104" i="8"/>
  <c r="BJ105" i="8" s="1"/>
  <c r="BJ106" i="8" s="1"/>
  <c r="BJ107" i="8" s="1"/>
  <c r="BJ108" i="8" s="1"/>
  <c r="BJ109" i="8" s="1"/>
  <c r="BJ110" i="8" s="1"/>
  <c r="BJ111" i="8" s="1"/>
  <c r="BJ112" i="8" s="1"/>
  <c r="BJ113" i="8" s="1"/>
  <c r="BJ114" i="8" s="1"/>
  <c r="BJ115" i="8" s="1"/>
  <c r="BJ116" i="8" s="1"/>
  <c r="BJ117" i="8" s="1"/>
  <c r="BJ118" i="8" s="1"/>
  <c r="BJ119" i="8" s="1"/>
  <c r="BJ120" i="8" s="1"/>
  <c r="BJ121" i="8" s="1"/>
  <c r="BJ122" i="8" s="1"/>
  <c r="BJ123" i="8" s="1"/>
  <c r="BJ124" i="8" s="1"/>
  <c r="BJ125" i="8" s="1"/>
  <c r="BJ126" i="8" s="1"/>
  <c r="BJ127" i="8" s="1"/>
  <c r="BK104" i="8"/>
  <c r="BL104" i="8"/>
  <c r="BM104" i="8"/>
  <c r="BK105" i="8"/>
  <c r="BK106" i="8" s="1"/>
  <c r="BK107" i="8" s="1"/>
  <c r="BK108" i="8" s="1"/>
  <c r="BK109" i="8" s="1"/>
  <c r="BK110" i="8" s="1"/>
  <c r="BK111" i="8" s="1"/>
  <c r="BK112" i="8" s="1"/>
  <c r="BK113" i="8" s="1"/>
  <c r="BK114" i="8" s="1"/>
  <c r="BK115" i="8" s="1"/>
  <c r="BK116" i="8" s="1"/>
  <c r="BK117" i="8" s="1"/>
  <c r="BK118" i="8" s="1"/>
  <c r="BK119" i="8" s="1"/>
  <c r="BK120" i="8" s="1"/>
  <c r="BK121" i="8" s="1"/>
  <c r="BK122" i="8" s="1"/>
  <c r="BK123" i="8" s="1"/>
  <c r="BK124" i="8" s="1"/>
  <c r="BK125" i="8" s="1"/>
  <c r="BK126" i="8" s="1"/>
  <c r="BK127" i="8" s="1"/>
  <c r="BL105" i="8"/>
  <c r="BM105" i="8"/>
  <c r="BL106" i="8"/>
  <c r="BL107" i="8" s="1"/>
  <c r="BL108" i="8" s="1"/>
  <c r="BL109" i="8" s="1"/>
  <c r="BL110" i="8" s="1"/>
  <c r="BL111" i="8" s="1"/>
  <c r="BL112" i="8" s="1"/>
  <c r="BL113" i="8" s="1"/>
  <c r="BL114" i="8" s="1"/>
  <c r="BL115" i="8" s="1"/>
  <c r="BL116" i="8" s="1"/>
  <c r="BL117" i="8" s="1"/>
  <c r="BL118" i="8" s="1"/>
  <c r="BL119" i="8" s="1"/>
  <c r="BL120" i="8" s="1"/>
  <c r="BL121" i="8" s="1"/>
  <c r="BL122" i="8" s="1"/>
  <c r="BL123" i="8" s="1"/>
  <c r="BL124" i="8" s="1"/>
  <c r="BL125" i="8" s="1"/>
  <c r="BL126" i="8" s="1"/>
  <c r="BL127" i="8" s="1"/>
  <c r="BM106" i="8"/>
  <c r="BM107" i="8"/>
  <c r="BM108" i="8" s="1"/>
  <c r="BM109" i="8" s="1"/>
  <c r="BM110" i="8" s="1"/>
  <c r="BM111" i="8" s="1"/>
  <c r="BM112" i="8" s="1"/>
  <c r="BM113" i="8" s="1"/>
  <c r="BM114" i="8" s="1"/>
  <c r="BM115" i="8" s="1"/>
  <c r="BM116" i="8" s="1"/>
  <c r="BM117" i="8" s="1"/>
  <c r="BM118" i="8" s="1"/>
  <c r="BM119" i="8" s="1"/>
  <c r="BM120" i="8" s="1"/>
  <c r="BM121" i="8" s="1"/>
  <c r="BM122" i="8" s="1"/>
  <c r="BM123" i="8" s="1"/>
  <c r="BM124" i="8" s="1"/>
  <c r="BM125" i="8" s="1"/>
  <c r="BM126" i="8" s="1"/>
  <c r="BM127" i="8" s="1"/>
  <c r="BG100" i="8"/>
  <c r="BH100" i="8"/>
  <c r="BI100" i="8"/>
  <c r="BJ100" i="8"/>
  <c r="BK100" i="8"/>
  <c r="BL100" i="8"/>
  <c r="BM100" i="8"/>
  <c r="BN100" i="8"/>
  <c r="BO100" i="8"/>
  <c r="BF99" i="8"/>
  <c r="BG99" i="8"/>
  <c r="BH99" i="8"/>
  <c r="BI99" i="8"/>
  <c r="BJ99" i="8"/>
  <c r="BK99" i="8"/>
  <c r="BL99" i="8"/>
  <c r="BM99" i="8"/>
  <c r="BN99" i="8"/>
  <c r="BO99" i="8"/>
  <c r="BP99" i="8"/>
  <c r="BF98" i="8"/>
  <c r="BE98" i="8"/>
  <c r="BG98" i="8"/>
  <c r="BH98" i="8"/>
  <c r="BI98" i="8"/>
  <c r="BJ98" i="8"/>
  <c r="BK98" i="8"/>
  <c r="BL98" i="8"/>
  <c r="BM98" i="8"/>
  <c r="BN98" i="8"/>
  <c r="BO98" i="8"/>
  <c r="BP98" i="8"/>
  <c r="BQ98" i="8"/>
  <c r="BR98" i="8"/>
  <c r="BD95" i="8"/>
  <c r="BE95" i="8"/>
  <c r="BF95" i="8"/>
  <c r="BG95" i="8"/>
  <c r="BG96" i="8" s="1"/>
  <c r="BG97" i="8" s="1"/>
  <c r="BH95" i="8"/>
  <c r="BH96" i="8" s="1"/>
  <c r="BH97" i="8" s="1"/>
  <c r="BI95" i="8"/>
  <c r="BI96" i="8" s="1"/>
  <c r="BI97" i="8" s="1"/>
  <c r="BJ95" i="8"/>
  <c r="BK95" i="8"/>
  <c r="BK96" i="8" s="1"/>
  <c r="BK97" i="8" s="1"/>
  <c r="BL95" i="8"/>
  <c r="BM95" i="8"/>
  <c r="BN95" i="8"/>
  <c r="BO95" i="8"/>
  <c r="BO96" i="8" s="1"/>
  <c r="BO97" i="8" s="1"/>
  <c r="BP95" i="8"/>
  <c r="BP96" i="8" s="1"/>
  <c r="BP97" i="8" s="1"/>
  <c r="BQ95" i="8"/>
  <c r="BQ96" i="8" s="1"/>
  <c r="BQ97" i="8" s="1"/>
  <c r="BR95" i="8"/>
  <c r="BD96" i="8"/>
  <c r="BD97" i="8" s="1"/>
  <c r="BE96" i="8"/>
  <c r="BF96" i="8"/>
  <c r="BJ96" i="8"/>
  <c r="BJ97" i="8" s="1"/>
  <c r="BL96" i="8"/>
  <c r="BL97" i="8" s="1"/>
  <c r="BM96" i="8"/>
  <c r="BN96" i="8"/>
  <c r="BR96" i="8"/>
  <c r="BR97" i="8" s="1"/>
  <c r="BE97" i="8"/>
  <c r="BF97" i="8"/>
  <c r="BM97" i="8"/>
  <c r="BN97" i="8"/>
  <c r="BD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AX127" i="8"/>
  <c r="AG54" i="8"/>
  <c r="AG93" i="8"/>
  <c r="AD127" i="8"/>
  <c r="AX126" i="8"/>
  <c r="AD126" i="8"/>
  <c r="AX125" i="8"/>
  <c r="AD125" i="8"/>
  <c r="AX124" i="8"/>
  <c r="AD124" i="8"/>
  <c r="AX123" i="8"/>
  <c r="AD123" i="8"/>
  <c r="AX122" i="8"/>
  <c r="AD122" i="8"/>
  <c r="AX121" i="8"/>
  <c r="AD121" i="8"/>
  <c r="AX120" i="8"/>
  <c r="AD120" i="8"/>
  <c r="AW119" i="8"/>
  <c r="AE119" i="8"/>
  <c r="AV118" i="8"/>
  <c r="AF118" i="8"/>
  <c r="AV117" i="8"/>
  <c r="AF117" i="8"/>
  <c r="AU116" i="8"/>
  <c r="AG116" i="8"/>
  <c r="AU115" i="8"/>
  <c r="AG115" i="8"/>
  <c r="AU114" i="8"/>
  <c r="AG114" i="8"/>
  <c r="AT113" i="8"/>
  <c r="AH113" i="8"/>
  <c r="AS112" i="8"/>
  <c r="AI112" i="8"/>
  <c r="AJ111" i="8"/>
  <c r="AQ110" i="8"/>
  <c r="AK110" i="8"/>
  <c r="AQ109" i="8"/>
  <c r="AK109" i="8"/>
  <c r="AQ108" i="8"/>
  <c r="AK108" i="8"/>
  <c r="AQ107" i="8"/>
  <c r="AK107" i="8"/>
  <c r="AQ106" i="8"/>
  <c r="AK106" i="8"/>
  <c r="AQ105" i="8"/>
  <c r="AK105" i="8"/>
  <c r="AQ104" i="8"/>
  <c r="AK104" i="8"/>
  <c r="AQ103" i="8"/>
  <c r="AK103" i="8"/>
  <c r="AQ102" i="8"/>
  <c r="AK102" i="8"/>
  <c r="AQ101" i="8"/>
  <c r="AK101" i="8"/>
  <c r="AR100" i="8"/>
  <c r="AJ100" i="8"/>
  <c r="AS99" i="8"/>
  <c r="AI99" i="8"/>
  <c r="AT98" i="8"/>
  <c r="AH98" i="8"/>
  <c r="AU97" i="8"/>
  <c r="AG97" i="8"/>
  <c r="AU96" i="8"/>
  <c r="AG96" i="8"/>
  <c r="AU95" i="8"/>
  <c r="AG95" i="8"/>
  <c r="AU94" i="8"/>
  <c r="AG94" i="8"/>
  <c r="AU93" i="8"/>
  <c r="W54" i="8"/>
  <c r="I54" i="8"/>
  <c r="E126" i="8"/>
  <c r="E125" i="8" s="1"/>
  <c r="E124" i="8" s="1"/>
  <c r="E123" i="8" s="1"/>
  <c r="E122" i="8" s="1"/>
  <c r="E121" i="8" s="1"/>
  <c r="E120" i="8" s="1"/>
  <c r="E119" i="8" s="1"/>
  <c r="E118" i="8" s="1"/>
  <c r="E117" i="8" s="1"/>
  <c r="E116" i="8" s="1"/>
  <c r="E115" i="8" s="1"/>
  <c r="E114" i="8" s="1"/>
  <c r="E113" i="8" s="1"/>
  <c r="E112" i="8" s="1"/>
  <c r="E111" i="8" s="1"/>
  <c r="E110" i="8" s="1"/>
  <c r="E109" i="8" s="1"/>
  <c r="E108" i="8" s="1"/>
  <c r="E107" i="8" s="1"/>
  <c r="E106" i="8" s="1"/>
  <c r="E105" i="8" s="1"/>
  <c r="E104" i="8" s="1"/>
  <c r="E103" i="8" s="1"/>
  <c r="E102" i="8" s="1"/>
  <c r="E101" i="8" s="1"/>
  <c r="E100" i="8" s="1"/>
  <c r="E99" i="8" s="1"/>
  <c r="E98" i="8" s="1"/>
  <c r="E97" i="8" s="1"/>
  <c r="E96" i="8" s="1"/>
  <c r="E95" i="8" s="1"/>
  <c r="E94" i="8" s="1"/>
  <c r="E93" i="8" s="1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2" i="8"/>
  <c r="I92" i="8" s="1"/>
  <c r="J92" i="8" s="1"/>
  <c r="K92" i="8" s="1"/>
  <c r="L92" i="8" s="1"/>
  <c r="M92" i="8" s="1"/>
  <c r="N92" i="8" s="1"/>
  <c r="O92" i="8" s="1"/>
  <c r="P92" i="8" s="1"/>
  <c r="Q92" i="8" s="1"/>
  <c r="R92" i="8" s="1"/>
  <c r="S92" i="8" s="1"/>
  <c r="T92" i="8" s="1"/>
  <c r="U92" i="8" s="1"/>
  <c r="V92" i="8" s="1"/>
  <c r="W92" i="8" s="1"/>
  <c r="X92" i="8" s="1"/>
  <c r="Y92" i="8" s="1"/>
  <c r="Z92" i="8" s="1"/>
  <c r="G92" i="8"/>
  <c r="BH61" i="8"/>
  <c r="BI61" i="8" s="1"/>
  <c r="BJ61" i="8" s="1"/>
  <c r="BK61" i="8" s="1"/>
  <c r="BL61" i="8" s="1"/>
  <c r="BM61" i="8" s="1"/>
  <c r="BN61" i="8" s="1"/>
  <c r="BO61" i="8" s="1"/>
  <c r="BP60" i="8"/>
  <c r="BO60" i="8"/>
  <c r="BO72" i="8"/>
  <c r="BN60" i="8"/>
  <c r="BN66" i="8"/>
  <c r="BN67" i="8"/>
  <c r="BN68" i="8"/>
  <c r="BN69" i="8"/>
  <c r="BN70" i="8"/>
  <c r="BN71" i="8"/>
  <c r="BN72" i="8"/>
  <c r="BT80" i="8"/>
  <c r="BS78" i="8"/>
  <c r="BS79" i="8"/>
  <c r="BS80" i="8"/>
  <c r="BR75" i="8"/>
  <c r="BR76" i="8"/>
  <c r="BR77" i="8"/>
  <c r="BR78" i="8"/>
  <c r="BR79" i="8"/>
  <c r="BR80" i="8"/>
  <c r="BQ74" i="8"/>
  <c r="BQ75" i="8"/>
  <c r="BQ76" i="8"/>
  <c r="BQ77" i="8"/>
  <c r="BQ78" i="8"/>
  <c r="BQ79" i="8"/>
  <c r="BQ80" i="8"/>
  <c r="BI73" i="8"/>
  <c r="BJ73" i="8"/>
  <c r="BK73" i="8" s="1"/>
  <c r="BL73" i="8" s="1"/>
  <c r="BM73" i="8" s="1"/>
  <c r="BN73" i="8" s="1"/>
  <c r="BO73" i="8" s="1"/>
  <c r="BP73" i="8" s="1"/>
  <c r="BI74" i="8"/>
  <c r="BJ74" i="8"/>
  <c r="BK74" i="8" s="1"/>
  <c r="BL74" i="8" s="1"/>
  <c r="BM74" i="8" s="1"/>
  <c r="BN74" i="8" s="1"/>
  <c r="BO74" i="8" s="1"/>
  <c r="BP74" i="8" s="1"/>
  <c r="BI75" i="8"/>
  <c r="BJ75" i="8"/>
  <c r="BK75" i="8" s="1"/>
  <c r="BL75" i="8" s="1"/>
  <c r="BM75" i="8" s="1"/>
  <c r="BN75" i="8" s="1"/>
  <c r="BO75" i="8" s="1"/>
  <c r="BP75" i="8" s="1"/>
  <c r="BI76" i="8"/>
  <c r="BJ76" i="8"/>
  <c r="BK76" i="8" s="1"/>
  <c r="BL76" i="8" s="1"/>
  <c r="BM76" i="8" s="1"/>
  <c r="BN76" i="8" s="1"/>
  <c r="BO76" i="8" s="1"/>
  <c r="BP76" i="8" s="1"/>
  <c r="BI77" i="8"/>
  <c r="BJ77" i="8"/>
  <c r="BK77" i="8" s="1"/>
  <c r="BL77" i="8" s="1"/>
  <c r="BM77" i="8" s="1"/>
  <c r="BN77" i="8" s="1"/>
  <c r="BO77" i="8" s="1"/>
  <c r="BP77" i="8" s="1"/>
  <c r="BI78" i="8"/>
  <c r="BJ78" i="8"/>
  <c r="BK78" i="8" s="1"/>
  <c r="BL78" i="8" s="1"/>
  <c r="BM78" i="8" s="1"/>
  <c r="BN78" i="8" s="1"/>
  <c r="BO78" i="8" s="1"/>
  <c r="BP78" i="8" s="1"/>
  <c r="BI79" i="8"/>
  <c r="BJ79" i="8"/>
  <c r="BK79" i="8" s="1"/>
  <c r="BL79" i="8" s="1"/>
  <c r="BM79" i="8" s="1"/>
  <c r="BN79" i="8" s="1"/>
  <c r="BO79" i="8" s="1"/>
  <c r="BP79" i="8" s="1"/>
  <c r="BI80" i="8"/>
  <c r="BJ80" i="8"/>
  <c r="BK80" i="8" s="1"/>
  <c r="BL80" i="8" s="1"/>
  <c r="BM80" i="8" s="1"/>
  <c r="BN80" i="8" s="1"/>
  <c r="BO80" i="8" s="1"/>
  <c r="BP80" i="8" s="1"/>
  <c r="BI81" i="8"/>
  <c r="BJ81" i="8"/>
  <c r="BK81" i="8" s="1"/>
  <c r="BL81" i="8" s="1"/>
  <c r="BM81" i="8" s="1"/>
  <c r="BN81" i="8" s="1"/>
  <c r="BO81" i="8" s="1"/>
  <c r="BP81" i="8" s="1"/>
  <c r="BE81" i="8"/>
  <c r="BF81" i="8"/>
  <c r="BG81" i="8"/>
  <c r="BH81" i="8" s="1"/>
  <c r="BE82" i="8"/>
  <c r="BF82" i="8"/>
  <c r="BG82" i="8" s="1"/>
  <c r="BH82" i="8" s="1"/>
  <c r="BI82" i="8" s="1"/>
  <c r="BJ82" i="8" s="1"/>
  <c r="BK82" i="8" s="1"/>
  <c r="BL82" i="8" s="1"/>
  <c r="BM82" i="8" s="1"/>
  <c r="BN82" i="8" s="1"/>
  <c r="BO82" i="8" s="1"/>
  <c r="BP82" i="8" s="1"/>
  <c r="BQ82" i="8" s="1"/>
  <c r="BR82" i="8" s="1"/>
  <c r="BS82" i="8" s="1"/>
  <c r="BT82" i="8" s="1"/>
  <c r="BU82" i="8" s="1"/>
  <c r="BE83" i="8"/>
  <c r="BF83" i="8" s="1"/>
  <c r="BG83" i="8" s="1"/>
  <c r="BH83" i="8" s="1"/>
  <c r="BI83" i="8" s="1"/>
  <c r="BJ83" i="8" s="1"/>
  <c r="BK83" i="8" s="1"/>
  <c r="BL83" i="8" s="1"/>
  <c r="BM83" i="8" s="1"/>
  <c r="BN83" i="8" s="1"/>
  <c r="BO83" i="8" s="1"/>
  <c r="BP83" i="8" s="1"/>
  <c r="BQ83" i="8" s="1"/>
  <c r="BR83" i="8" s="1"/>
  <c r="BS83" i="8" s="1"/>
  <c r="BT83" i="8" s="1"/>
  <c r="BU83" i="8" s="1"/>
  <c r="BE84" i="8"/>
  <c r="BF84" i="8" s="1"/>
  <c r="BG84" i="8" s="1"/>
  <c r="BH84" i="8" s="1"/>
  <c r="BI84" i="8" s="1"/>
  <c r="BJ84" i="8" s="1"/>
  <c r="BK84" i="8" s="1"/>
  <c r="BL84" i="8" s="1"/>
  <c r="BM84" i="8" s="1"/>
  <c r="BN84" i="8" s="1"/>
  <c r="BO84" i="8" s="1"/>
  <c r="BP84" i="8" s="1"/>
  <c r="BQ84" i="8" s="1"/>
  <c r="BR84" i="8" s="1"/>
  <c r="BS84" i="8" s="1"/>
  <c r="BT84" i="8" s="1"/>
  <c r="BU84" i="8" s="1"/>
  <c r="BE85" i="8"/>
  <c r="BF85" i="8"/>
  <c r="BG85" i="8" s="1"/>
  <c r="BH85" i="8" s="1"/>
  <c r="BI85" i="8" s="1"/>
  <c r="BJ85" i="8" s="1"/>
  <c r="BK85" i="8" s="1"/>
  <c r="BL85" i="8" s="1"/>
  <c r="BM85" i="8" s="1"/>
  <c r="BN85" i="8" s="1"/>
  <c r="BO85" i="8" s="1"/>
  <c r="BP85" i="8" s="1"/>
  <c r="BQ85" i="8" s="1"/>
  <c r="BR85" i="8" s="1"/>
  <c r="BS85" i="8" s="1"/>
  <c r="BT85" i="8" s="1"/>
  <c r="BU85" i="8" s="1"/>
  <c r="BE86" i="8"/>
  <c r="BF86" i="8" s="1"/>
  <c r="BG86" i="8" s="1"/>
  <c r="BH86" i="8" s="1"/>
  <c r="BI86" i="8" s="1"/>
  <c r="BJ86" i="8" s="1"/>
  <c r="BK86" i="8" s="1"/>
  <c r="BL86" i="8" s="1"/>
  <c r="BM86" i="8" s="1"/>
  <c r="BN86" i="8" s="1"/>
  <c r="BO86" i="8" s="1"/>
  <c r="BP86" i="8" s="1"/>
  <c r="BQ86" i="8" s="1"/>
  <c r="BR86" i="8" s="1"/>
  <c r="BS86" i="8" s="1"/>
  <c r="BT86" i="8" s="1"/>
  <c r="BU86" i="8" s="1"/>
  <c r="BE87" i="8"/>
  <c r="BF87" i="8"/>
  <c r="BG87" i="8" s="1"/>
  <c r="BH87" i="8" s="1"/>
  <c r="BI87" i="8" s="1"/>
  <c r="BJ87" i="8" s="1"/>
  <c r="BK87" i="8" s="1"/>
  <c r="BL87" i="8" s="1"/>
  <c r="BM87" i="8" s="1"/>
  <c r="BN87" i="8" s="1"/>
  <c r="BO87" i="8" s="1"/>
  <c r="BP87" i="8" s="1"/>
  <c r="BQ87" i="8" s="1"/>
  <c r="BR87" i="8" s="1"/>
  <c r="BS87" i="8" s="1"/>
  <c r="BT87" i="8" s="1"/>
  <c r="BU87" i="8" s="1"/>
  <c r="BE88" i="8"/>
  <c r="BF88" i="8" s="1"/>
  <c r="BG88" i="8" s="1"/>
  <c r="BH88" i="8" s="1"/>
  <c r="BI88" i="8" s="1"/>
  <c r="BJ88" i="8" s="1"/>
  <c r="BK88" i="8" s="1"/>
  <c r="BL88" i="8" s="1"/>
  <c r="BM88" i="8" s="1"/>
  <c r="BN88" i="8" s="1"/>
  <c r="BO88" i="8" s="1"/>
  <c r="BP88" i="8" s="1"/>
  <c r="BQ88" i="8" s="1"/>
  <c r="BR88" i="8" s="1"/>
  <c r="BS88" i="8" s="1"/>
  <c r="BT88" i="8" s="1"/>
  <c r="BU88" i="8" s="1"/>
  <c r="BG73" i="8"/>
  <c r="BH73" i="8" s="1"/>
  <c r="BF74" i="8"/>
  <c r="BG74" i="8" s="1"/>
  <c r="BH74" i="8" s="1"/>
  <c r="BE75" i="8"/>
  <c r="BF75" i="8" s="1"/>
  <c r="BG75" i="8" s="1"/>
  <c r="BH75" i="8" s="1"/>
  <c r="BE76" i="8"/>
  <c r="BF76" i="8" s="1"/>
  <c r="BG76" i="8" s="1"/>
  <c r="BH76" i="8" s="1"/>
  <c r="BD78" i="8"/>
  <c r="BE78" i="8" s="1"/>
  <c r="BF78" i="8" s="1"/>
  <c r="BG78" i="8" s="1"/>
  <c r="BH78" i="8" s="1"/>
  <c r="BD79" i="8"/>
  <c r="BE79" i="8" s="1"/>
  <c r="BF79" i="8" s="1"/>
  <c r="BG79" i="8" s="1"/>
  <c r="BH79" i="8" s="1"/>
  <c r="BE77" i="8"/>
  <c r="BF77" i="8" s="1"/>
  <c r="BG77" i="8" s="1"/>
  <c r="BH77" i="8" s="1"/>
  <c r="BC80" i="8"/>
  <c r="BD80" i="8" s="1"/>
  <c r="BE80" i="8" s="1"/>
  <c r="BF80" i="8" s="1"/>
  <c r="BG80" i="8" s="1"/>
  <c r="BH80" i="8" s="1"/>
  <c r="BB81" i="8"/>
  <c r="BC81" i="8" s="1"/>
  <c r="BD81" i="8" s="1"/>
  <c r="BB82" i="8"/>
  <c r="BC82" i="8"/>
  <c r="BD82" i="8" s="1"/>
  <c r="BB83" i="8"/>
  <c r="BC83" i="8"/>
  <c r="BD83" i="8"/>
  <c r="BB84" i="8"/>
  <c r="BC84" i="8"/>
  <c r="BD84" i="8" s="1"/>
  <c r="BB85" i="8"/>
  <c r="BC85" i="8" s="1"/>
  <c r="BD85" i="8" s="1"/>
  <c r="BB86" i="8"/>
  <c r="BC86" i="8"/>
  <c r="BD86" i="8" s="1"/>
  <c r="BB87" i="8"/>
  <c r="BC87" i="8"/>
  <c r="BD87" i="8"/>
  <c r="BB88" i="8"/>
  <c r="BC88" i="8"/>
  <c r="BD88" i="8" s="1"/>
  <c r="BH72" i="8"/>
  <c r="BI72" i="8" s="1"/>
  <c r="BJ72" i="8" s="1"/>
  <c r="BK72" i="8" s="1"/>
  <c r="BL72" i="8" s="1"/>
  <c r="BM72" i="8" s="1"/>
  <c r="BJ60" i="8"/>
  <c r="BK60" i="8"/>
  <c r="BL60" i="8"/>
  <c r="BM60" i="8"/>
  <c r="BJ65" i="8"/>
  <c r="BK65" i="8" s="1"/>
  <c r="BL65" i="8" s="1"/>
  <c r="BM65" i="8" s="1"/>
  <c r="BN65" i="8" s="1"/>
  <c r="BJ66" i="8"/>
  <c r="BK66" i="8"/>
  <c r="BL66" i="8"/>
  <c r="BM66" i="8"/>
  <c r="BJ67" i="8"/>
  <c r="BK67" i="8" s="1"/>
  <c r="BL67" i="8" s="1"/>
  <c r="BM67" i="8" s="1"/>
  <c r="BJ68" i="8"/>
  <c r="BK68" i="8"/>
  <c r="BL68" i="8"/>
  <c r="BM68" i="8"/>
  <c r="BJ69" i="8"/>
  <c r="BK69" i="8" s="1"/>
  <c r="BL69" i="8" s="1"/>
  <c r="BM69" i="8" s="1"/>
  <c r="BJ70" i="8"/>
  <c r="BK70" i="8"/>
  <c r="BL70" i="8"/>
  <c r="BM70" i="8"/>
  <c r="BJ71" i="8"/>
  <c r="BK71" i="8" s="1"/>
  <c r="BL71" i="8" s="1"/>
  <c r="BM71" i="8" s="1"/>
  <c r="BI60" i="8"/>
  <c r="BI62" i="8"/>
  <c r="BJ62" i="8" s="1"/>
  <c r="BK62" i="8" s="1"/>
  <c r="BL62" i="8" s="1"/>
  <c r="BM62" i="8" s="1"/>
  <c r="BN62" i="8" s="1"/>
  <c r="BI63" i="8"/>
  <c r="BJ63" i="8" s="1"/>
  <c r="BK63" i="8" s="1"/>
  <c r="BL63" i="8" s="1"/>
  <c r="BM63" i="8" s="1"/>
  <c r="BN63" i="8" s="1"/>
  <c r="BI64" i="8"/>
  <c r="BJ64" i="8" s="1"/>
  <c r="BK64" i="8" s="1"/>
  <c r="BL64" i="8" s="1"/>
  <c r="BM64" i="8" s="1"/>
  <c r="BN64" i="8" s="1"/>
  <c r="BI65" i="8"/>
  <c r="BI66" i="8"/>
  <c r="BI67" i="8"/>
  <c r="BI68" i="8"/>
  <c r="BI69" i="8"/>
  <c r="BI70" i="8"/>
  <c r="BI71" i="8"/>
  <c r="BH60" i="8"/>
  <c r="BG60" i="8"/>
  <c r="BE55" i="8"/>
  <c r="BF55" i="8" s="1"/>
  <c r="BG55" i="8" s="1"/>
  <c r="BH55" i="8" s="1"/>
  <c r="BI55" i="8" s="1"/>
  <c r="BJ55" i="8" s="1"/>
  <c r="BK55" i="8" s="1"/>
  <c r="BL55" i="8" s="1"/>
  <c r="BM55" i="8" s="1"/>
  <c r="BN55" i="8" s="1"/>
  <c r="BO55" i="8" s="1"/>
  <c r="BP55" i="8" s="1"/>
  <c r="BQ55" i="8" s="1"/>
  <c r="BR55" i="8" s="1"/>
  <c r="BE56" i="8"/>
  <c r="BF56" i="8" s="1"/>
  <c r="BG56" i="8" s="1"/>
  <c r="BH56" i="8" s="1"/>
  <c r="BI56" i="8" s="1"/>
  <c r="BJ56" i="8" s="1"/>
  <c r="BK56" i="8" s="1"/>
  <c r="BL56" i="8" s="1"/>
  <c r="BM56" i="8" s="1"/>
  <c r="BN56" i="8" s="1"/>
  <c r="BO56" i="8" s="1"/>
  <c r="BP56" i="8" s="1"/>
  <c r="BQ56" i="8" s="1"/>
  <c r="BR56" i="8" s="1"/>
  <c r="BE57" i="8"/>
  <c r="BF57" i="8" s="1"/>
  <c r="BG57" i="8" s="1"/>
  <c r="BH57" i="8" s="1"/>
  <c r="BI57" i="8" s="1"/>
  <c r="BJ57" i="8" s="1"/>
  <c r="BK57" i="8" s="1"/>
  <c r="BL57" i="8" s="1"/>
  <c r="BM57" i="8" s="1"/>
  <c r="BN57" i="8" s="1"/>
  <c r="BO57" i="8" s="1"/>
  <c r="BP57" i="8" s="1"/>
  <c r="BQ57" i="8" s="1"/>
  <c r="BR57" i="8" s="1"/>
  <c r="BE58" i="8"/>
  <c r="BF58" i="8" s="1"/>
  <c r="BG58" i="8" s="1"/>
  <c r="BH58" i="8" s="1"/>
  <c r="BI58" i="8" s="1"/>
  <c r="BJ58" i="8" s="1"/>
  <c r="BK58" i="8" s="1"/>
  <c r="BL58" i="8" s="1"/>
  <c r="BM58" i="8" s="1"/>
  <c r="BN58" i="8" s="1"/>
  <c r="BO58" i="8" s="1"/>
  <c r="BP58" i="8" s="1"/>
  <c r="BQ58" i="8" s="1"/>
  <c r="BR58" i="8" s="1"/>
  <c r="BF59" i="8"/>
  <c r="BG59" i="8" s="1"/>
  <c r="BH59" i="8" s="1"/>
  <c r="BI59" i="8" s="1"/>
  <c r="BJ59" i="8" s="1"/>
  <c r="BK59" i="8" s="1"/>
  <c r="BL59" i="8" s="1"/>
  <c r="BM59" i="8" s="1"/>
  <c r="BF54" i="8"/>
  <c r="BG54" i="8"/>
  <c r="BH54" i="8" s="1"/>
  <c r="BI54" i="8" s="1"/>
  <c r="BJ54" i="8" s="1"/>
  <c r="BK54" i="8" s="1"/>
  <c r="BL54" i="8" s="1"/>
  <c r="BM54" i="8" s="1"/>
  <c r="BN54" i="8" s="1"/>
  <c r="BO54" i="8" s="1"/>
  <c r="BP54" i="8" s="1"/>
  <c r="BQ54" i="8" s="1"/>
  <c r="BR54" i="8" s="1"/>
  <c r="BE54" i="8"/>
  <c r="AJ61" i="8"/>
  <c r="AK61" i="8"/>
  <c r="BH23" i="8" s="1"/>
  <c r="AL61" i="8"/>
  <c r="AM61" i="8"/>
  <c r="AN61" i="8"/>
  <c r="AO61" i="8"/>
  <c r="AP61" i="8"/>
  <c r="AQ61" i="8"/>
  <c r="AR61" i="8"/>
  <c r="AT74" i="8"/>
  <c r="AS73" i="8"/>
  <c r="AS74" i="8"/>
  <c r="AR72" i="8"/>
  <c r="AR73" i="8"/>
  <c r="AR74" i="8"/>
  <c r="AJ72" i="8"/>
  <c r="AE80" i="8"/>
  <c r="AF78" i="8"/>
  <c r="AF79" i="8"/>
  <c r="AF80" i="8"/>
  <c r="BC42" i="8" s="1"/>
  <c r="AG75" i="8"/>
  <c r="AG76" i="8"/>
  <c r="AG77" i="8"/>
  <c r="AG78" i="8"/>
  <c r="BD40" i="8" s="1"/>
  <c r="AG79" i="8"/>
  <c r="BD41" i="8" s="1"/>
  <c r="AG80" i="8"/>
  <c r="AH74" i="8"/>
  <c r="AH75" i="8"/>
  <c r="AH76" i="8"/>
  <c r="BE38" i="8" s="1"/>
  <c r="AH77" i="8"/>
  <c r="BE39" i="8" s="1"/>
  <c r="AH78" i="8"/>
  <c r="AH79" i="8"/>
  <c r="AH80" i="8"/>
  <c r="AR75" i="8"/>
  <c r="AS75" i="8"/>
  <c r="AT75" i="8"/>
  <c r="AU75" i="8"/>
  <c r="AR76" i="8"/>
  <c r="AS76" i="8"/>
  <c r="AT76" i="8"/>
  <c r="AU76" i="8"/>
  <c r="AR77" i="8"/>
  <c r="AS77" i="8"/>
  <c r="AT77" i="8"/>
  <c r="AU77" i="8"/>
  <c r="AR78" i="8"/>
  <c r="AS78" i="8"/>
  <c r="AT78" i="8"/>
  <c r="AU78" i="8"/>
  <c r="AV78" i="8"/>
  <c r="AR79" i="8"/>
  <c r="AS79" i="8"/>
  <c r="AT79" i="8"/>
  <c r="AU79" i="8"/>
  <c r="AV79" i="8"/>
  <c r="AR80" i="8"/>
  <c r="AS80" i="8"/>
  <c r="AT80" i="8"/>
  <c r="AU80" i="8"/>
  <c r="AV80" i="8"/>
  <c r="AW80" i="8"/>
  <c r="AE81" i="8"/>
  <c r="BB43" i="8" s="1"/>
  <c r="AF81" i="8"/>
  <c r="AG81" i="8"/>
  <c r="AH81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E82" i="8"/>
  <c r="BB44" i="8" s="1"/>
  <c r="AF82" i="8"/>
  <c r="AG82" i="8"/>
  <c r="AH82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E83" i="8"/>
  <c r="BB45" i="8" s="1"/>
  <c r="AF83" i="8"/>
  <c r="AG83" i="8"/>
  <c r="AH83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E84" i="8"/>
  <c r="BB46" i="8" s="1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E85" i="8"/>
  <c r="BB47" i="8" s="1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E86" i="8"/>
  <c r="BB48" i="8" s="1"/>
  <c r="AF86" i="8"/>
  <c r="AG86" i="8"/>
  <c r="AH86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E87" i="8"/>
  <c r="BB49" i="8" s="1"/>
  <c r="AF87" i="8"/>
  <c r="AG87" i="8"/>
  <c r="AH87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E88" i="8"/>
  <c r="BB50" i="8" s="1"/>
  <c r="AF88" i="8"/>
  <c r="AG88" i="8"/>
  <c r="AH88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D81" i="8"/>
  <c r="AD82" i="8"/>
  <c r="AD83" i="8"/>
  <c r="AD84" i="8"/>
  <c r="AD85" i="8"/>
  <c r="AD86" i="8"/>
  <c r="AD87" i="8"/>
  <c r="AD88" i="8"/>
  <c r="AI73" i="8"/>
  <c r="AJ73" i="8"/>
  <c r="BG35" i="8" s="1"/>
  <c r="AI74" i="8"/>
  <c r="BF36" i="8" s="1"/>
  <c r="AJ74" i="8"/>
  <c r="AI75" i="8"/>
  <c r="BF37" i="8" s="1"/>
  <c r="AJ75" i="8"/>
  <c r="AI76" i="8"/>
  <c r="AJ76" i="8"/>
  <c r="AI77" i="8"/>
  <c r="AJ77" i="8"/>
  <c r="AI78" i="8"/>
  <c r="AJ78" i="8"/>
  <c r="AI79" i="8"/>
  <c r="AJ79" i="8"/>
  <c r="AI80" i="8"/>
  <c r="AJ80" i="8"/>
  <c r="AK59" i="8"/>
  <c r="AL59" i="8"/>
  <c r="AM59" i="8"/>
  <c r="AN59" i="8"/>
  <c r="AO59" i="8"/>
  <c r="AP59" i="8"/>
  <c r="AQ59" i="8"/>
  <c r="AK60" i="8"/>
  <c r="AL60" i="8"/>
  <c r="AM60" i="8"/>
  <c r="AN60" i="8"/>
  <c r="AO60" i="8"/>
  <c r="AP60" i="8"/>
  <c r="AQ60" i="8"/>
  <c r="AK62" i="8"/>
  <c r="AL62" i="8"/>
  <c r="BI24" i="8" s="1"/>
  <c r="AM62" i="8"/>
  <c r="AN62" i="8"/>
  <c r="AO62" i="8"/>
  <c r="AP62" i="8"/>
  <c r="AQ62" i="8"/>
  <c r="AK63" i="8"/>
  <c r="AL63" i="8"/>
  <c r="BI25" i="8" s="1"/>
  <c r="AM63" i="8"/>
  <c r="AN63" i="8"/>
  <c r="AO63" i="8"/>
  <c r="AP63" i="8"/>
  <c r="AQ63" i="8"/>
  <c r="AK64" i="8"/>
  <c r="AL64" i="8"/>
  <c r="BI26" i="8" s="1"/>
  <c r="AM64" i="8"/>
  <c r="AN64" i="8"/>
  <c r="AO64" i="8"/>
  <c r="AP64" i="8"/>
  <c r="AQ64" i="8"/>
  <c r="AK65" i="8"/>
  <c r="AL65" i="8"/>
  <c r="BI27" i="8" s="1"/>
  <c r="AM65" i="8"/>
  <c r="AN65" i="8"/>
  <c r="AO65" i="8"/>
  <c r="AP65" i="8"/>
  <c r="AQ65" i="8"/>
  <c r="AK66" i="8"/>
  <c r="AL66" i="8"/>
  <c r="BI28" i="8" s="1"/>
  <c r="AM66" i="8"/>
  <c r="AN66" i="8"/>
  <c r="AO66" i="8"/>
  <c r="AP66" i="8"/>
  <c r="AQ66" i="8"/>
  <c r="AK67" i="8"/>
  <c r="AL67" i="8"/>
  <c r="BI29" i="8" s="1"/>
  <c r="AM67" i="8"/>
  <c r="AN67" i="8"/>
  <c r="AO67" i="8"/>
  <c r="AP67" i="8"/>
  <c r="AQ67" i="8"/>
  <c r="AK68" i="8"/>
  <c r="AL68" i="8"/>
  <c r="BI30" i="8" s="1"/>
  <c r="AM68" i="8"/>
  <c r="AN68" i="8"/>
  <c r="AO68" i="8"/>
  <c r="AP68" i="8"/>
  <c r="AQ68" i="8"/>
  <c r="AK69" i="8"/>
  <c r="AL69" i="8"/>
  <c r="BI31" i="8" s="1"/>
  <c r="AM69" i="8"/>
  <c r="AN69" i="8"/>
  <c r="AO69" i="8"/>
  <c r="AP69" i="8"/>
  <c r="AQ69" i="8"/>
  <c r="AK70" i="8"/>
  <c r="AL70" i="8"/>
  <c r="BI32" i="8" s="1"/>
  <c r="AM70" i="8"/>
  <c r="AN70" i="8"/>
  <c r="AO70" i="8"/>
  <c r="AP70" i="8"/>
  <c r="AQ70" i="8"/>
  <c r="AK71" i="8"/>
  <c r="AL71" i="8"/>
  <c r="BI33" i="8" s="1"/>
  <c r="AM71" i="8"/>
  <c r="AN71" i="8"/>
  <c r="AO71" i="8"/>
  <c r="AP71" i="8"/>
  <c r="AQ71" i="8"/>
  <c r="AK72" i="8"/>
  <c r="BH34" i="8" s="1"/>
  <c r="AL72" i="8"/>
  <c r="AM72" i="8"/>
  <c r="AN72" i="8"/>
  <c r="AO72" i="8"/>
  <c r="AP72" i="8"/>
  <c r="AQ72" i="8"/>
  <c r="AK73" i="8"/>
  <c r="AL73" i="8"/>
  <c r="AM73" i="8"/>
  <c r="AN73" i="8"/>
  <c r="AO73" i="8"/>
  <c r="AP73" i="8"/>
  <c r="AQ73" i="8"/>
  <c r="AK74" i="8"/>
  <c r="AL74" i="8"/>
  <c r="AM74" i="8"/>
  <c r="AN74" i="8"/>
  <c r="AO74" i="8"/>
  <c r="AP74" i="8"/>
  <c r="AQ74" i="8"/>
  <c r="AK75" i="8"/>
  <c r="AL75" i="8"/>
  <c r="AM75" i="8"/>
  <c r="AN75" i="8"/>
  <c r="AO75" i="8"/>
  <c r="AP75" i="8"/>
  <c r="AQ75" i="8"/>
  <c r="AK76" i="8"/>
  <c r="AL76" i="8"/>
  <c r="AM76" i="8"/>
  <c r="AN76" i="8"/>
  <c r="AO76" i="8"/>
  <c r="AP76" i="8"/>
  <c r="AQ76" i="8"/>
  <c r="AK77" i="8"/>
  <c r="AL77" i="8"/>
  <c r="AM77" i="8"/>
  <c r="AN77" i="8"/>
  <c r="AO77" i="8"/>
  <c r="AP77" i="8"/>
  <c r="AQ77" i="8"/>
  <c r="AK78" i="8"/>
  <c r="AL78" i="8"/>
  <c r="AM78" i="8"/>
  <c r="AN78" i="8"/>
  <c r="AO78" i="8"/>
  <c r="AP78" i="8"/>
  <c r="AQ78" i="8"/>
  <c r="AK79" i="8"/>
  <c r="AL79" i="8"/>
  <c r="AM79" i="8"/>
  <c r="AN79" i="8"/>
  <c r="AO79" i="8"/>
  <c r="AP79" i="8"/>
  <c r="AQ79" i="8"/>
  <c r="AK80" i="8"/>
  <c r="AL80" i="8"/>
  <c r="AM80" i="8"/>
  <c r="AN80" i="8"/>
  <c r="AO80" i="8"/>
  <c r="AP80" i="8"/>
  <c r="AQ80" i="8"/>
  <c r="AJ59" i="8"/>
  <c r="AR59" i="8"/>
  <c r="AS59" i="8"/>
  <c r="AJ60" i="8"/>
  <c r="BG22" i="8" s="1"/>
  <c r="AR60" i="8"/>
  <c r="AS60" i="8"/>
  <c r="AI60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I59" i="8"/>
  <c r="BF21" i="8" s="1"/>
  <c r="AT59" i="8"/>
  <c r="AH59" i="8"/>
  <c r="AG55" i="8"/>
  <c r="AH55" i="8"/>
  <c r="BE17" i="8" s="1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G56" i="8"/>
  <c r="AH56" i="8"/>
  <c r="BE18" i="8" s="1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G57" i="8"/>
  <c r="AH57" i="8"/>
  <c r="BE19" i="8" s="1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G58" i="8"/>
  <c r="AH58" i="8"/>
  <c r="BE20" i="8" s="1"/>
  <c r="AU58" i="8"/>
  <c r="C21" i="8"/>
  <c r="C20" i="8"/>
  <c r="Z82" i="8"/>
  <c r="Z83" i="8"/>
  <c r="Z84" i="8"/>
  <c r="Z85" i="8"/>
  <c r="Z86" i="8"/>
  <c r="Z87" i="8"/>
  <c r="Z88" i="8"/>
  <c r="Y80" i="8"/>
  <c r="Z81" i="8"/>
  <c r="X79" i="8"/>
  <c r="W76" i="8"/>
  <c r="W77" i="8"/>
  <c r="X78" i="8"/>
  <c r="U73" i="8"/>
  <c r="V74" i="8"/>
  <c r="W75" i="8"/>
  <c r="T72" i="8"/>
  <c r="S63" i="8"/>
  <c r="S64" i="8"/>
  <c r="S65" i="8"/>
  <c r="S66" i="8"/>
  <c r="S67" i="8"/>
  <c r="S68" i="8"/>
  <c r="S69" i="8"/>
  <c r="S70" i="8"/>
  <c r="S71" i="8"/>
  <c r="S62" i="8"/>
  <c r="T61" i="8"/>
  <c r="U60" i="8"/>
  <c r="V59" i="8"/>
  <c r="W55" i="8"/>
  <c r="W56" i="8"/>
  <c r="W57" i="8"/>
  <c r="W58" i="8"/>
  <c r="F82" i="8"/>
  <c r="F83" i="8"/>
  <c r="F84" i="8"/>
  <c r="F85" i="8"/>
  <c r="F86" i="8"/>
  <c r="F87" i="8"/>
  <c r="F88" i="8"/>
  <c r="F81" i="8"/>
  <c r="H79" i="8"/>
  <c r="G80" i="8"/>
  <c r="H78" i="8"/>
  <c r="I76" i="8"/>
  <c r="I77" i="8"/>
  <c r="I75" i="8"/>
  <c r="K73" i="8"/>
  <c r="J74" i="8"/>
  <c r="L72" i="8"/>
  <c r="M62" i="8"/>
  <c r="M63" i="8"/>
  <c r="M64" i="8"/>
  <c r="M65" i="8"/>
  <c r="M66" i="8"/>
  <c r="M67" i="8"/>
  <c r="M68" i="8"/>
  <c r="M69" i="8"/>
  <c r="M70" i="8"/>
  <c r="M71" i="8"/>
  <c r="L61" i="8"/>
  <c r="J59" i="8"/>
  <c r="K60" i="8"/>
  <c r="I55" i="8"/>
  <c r="I56" i="8"/>
  <c r="I57" i="8"/>
  <c r="I58" i="8"/>
  <c r="E87" i="8"/>
  <c r="E86" i="8"/>
  <c r="E85" i="8" s="1"/>
  <c r="E84" i="8" s="1"/>
  <c r="E83" i="8" s="1"/>
  <c r="E82" i="8" s="1"/>
  <c r="E81" i="8" s="1"/>
  <c r="E80" i="8" s="1"/>
  <c r="E79" i="8" s="1"/>
  <c r="E78" i="8" s="1"/>
  <c r="E77" i="8" s="1"/>
  <c r="E76" i="8" s="1"/>
  <c r="E75" i="8" s="1"/>
  <c r="E74" i="8" s="1"/>
  <c r="E73" i="8" s="1"/>
  <c r="E72" i="8" s="1"/>
  <c r="E71" i="8" s="1"/>
  <c r="E70" i="8" s="1"/>
  <c r="E69" i="8" s="1"/>
  <c r="E68" i="8" s="1"/>
  <c r="E67" i="8" s="1"/>
  <c r="E66" i="8" s="1"/>
  <c r="E65" i="8" s="1"/>
  <c r="E64" i="8" s="1"/>
  <c r="E63" i="8" s="1"/>
  <c r="E62" i="8" s="1"/>
  <c r="E61" i="8" s="1"/>
  <c r="E60" i="8" s="1"/>
  <c r="E59" i="8" s="1"/>
  <c r="E58" i="8" s="1"/>
  <c r="E57" i="8" s="1"/>
  <c r="E56" i="8" s="1"/>
  <c r="E55" i="8" s="1"/>
  <c r="E54" i="8" s="1"/>
  <c r="G53" i="8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V53" i="8" s="1"/>
  <c r="W53" i="8" s="1"/>
  <c r="X53" i="8" s="1"/>
  <c r="Y53" i="8" s="1"/>
  <c r="Z53" i="8" s="1"/>
  <c r="C3" i="8"/>
  <c r="E3" i="8"/>
  <c r="E48" i="8" s="1"/>
  <c r="E47" i="8" s="1"/>
  <c r="E46" i="8" s="1"/>
  <c r="E45" i="8" s="1"/>
  <c r="E44" i="8" s="1"/>
  <c r="E43" i="8" s="1"/>
  <c r="E42" i="8" s="1"/>
  <c r="E41" i="8" s="1"/>
  <c r="E40" i="8" s="1"/>
  <c r="E39" i="8" s="1"/>
  <c r="E38" i="8" s="1"/>
  <c r="E37" i="8" s="1"/>
  <c r="E36" i="8" s="1"/>
  <c r="E35" i="8" s="1"/>
  <c r="E34" i="8" s="1"/>
  <c r="E33" i="8" s="1"/>
  <c r="E32" i="8" s="1"/>
  <c r="E31" i="8" s="1"/>
  <c r="E30" i="8" s="1"/>
  <c r="E29" i="8" s="1"/>
  <c r="E28" i="8" s="1"/>
  <c r="E27" i="8" s="1"/>
  <c r="E26" i="8" s="1"/>
  <c r="E25" i="8" s="1"/>
  <c r="E24" i="8" s="1"/>
  <c r="E23" i="8" s="1"/>
  <c r="E22" i="8" s="1"/>
  <c r="E21" i="8" s="1"/>
  <c r="E20" i="8" s="1"/>
  <c r="E19" i="8" s="1"/>
  <c r="E18" i="8" s="1"/>
  <c r="E17" i="8" s="1"/>
  <c r="E16" i="8" s="1"/>
  <c r="E15" i="8" s="1"/>
  <c r="BI34" i="8" l="1"/>
  <c r="BJ34" i="8" s="1"/>
  <c r="BK34" i="8" s="1"/>
  <c r="BL34" i="8" s="1"/>
  <c r="BM34" i="8" s="1"/>
  <c r="BN34" i="8" s="1"/>
  <c r="S72" i="8" s="1"/>
  <c r="BJ27" i="8"/>
  <c r="BK27" i="8" s="1"/>
  <c r="BL27" i="8" s="1"/>
  <c r="BM27" i="8" s="1"/>
  <c r="BN27" i="8" s="1"/>
  <c r="BG37" i="8"/>
  <c r="BH37" i="8" s="1"/>
  <c r="BI37" i="8" s="1"/>
  <c r="BJ37" i="8" s="1"/>
  <c r="BK37" i="8" s="1"/>
  <c r="BL37" i="8" s="1"/>
  <c r="BM37" i="8" s="1"/>
  <c r="BN37" i="8" s="1"/>
  <c r="BO37" i="8" s="1"/>
  <c r="BP37" i="8" s="1"/>
  <c r="BQ37" i="8" s="1"/>
  <c r="V75" i="8" s="1"/>
  <c r="BC50" i="8"/>
  <c r="BD50" i="8" s="1"/>
  <c r="BE50" i="8" s="1"/>
  <c r="BF50" i="8" s="1"/>
  <c r="BG50" i="8" s="1"/>
  <c r="BH50" i="8" s="1"/>
  <c r="BI50" i="8" s="1"/>
  <c r="BJ50" i="8" s="1"/>
  <c r="BK50" i="8" s="1"/>
  <c r="BL50" i="8" s="1"/>
  <c r="BM50" i="8" s="1"/>
  <c r="BN50" i="8" s="1"/>
  <c r="BO50" i="8" s="1"/>
  <c r="BP50" i="8" s="1"/>
  <c r="BQ50" i="8" s="1"/>
  <c r="BR50" i="8" s="1"/>
  <c r="BS50" i="8" s="1"/>
  <c r="BT50" i="8" s="1"/>
  <c r="BU50" i="8" s="1"/>
  <c r="BC48" i="8"/>
  <c r="BD48" i="8" s="1"/>
  <c r="BE48" i="8" s="1"/>
  <c r="BF48" i="8" s="1"/>
  <c r="BG48" i="8" s="1"/>
  <c r="BH48" i="8" s="1"/>
  <c r="BI48" i="8" s="1"/>
  <c r="BJ48" i="8" s="1"/>
  <c r="BK48" i="8" s="1"/>
  <c r="BL48" i="8" s="1"/>
  <c r="BM48" i="8" s="1"/>
  <c r="BN48" i="8" s="1"/>
  <c r="BO48" i="8" s="1"/>
  <c r="BP48" i="8" s="1"/>
  <c r="BQ48" i="8" s="1"/>
  <c r="BR48" i="8" s="1"/>
  <c r="BS48" i="8" s="1"/>
  <c r="BT48" i="8" s="1"/>
  <c r="Y86" i="8" s="1"/>
  <c r="BC46" i="8"/>
  <c r="BD46" i="8" s="1"/>
  <c r="BE46" i="8" s="1"/>
  <c r="BF46" i="8" s="1"/>
  <c r="BG46" i="8" s="1"/>
  <c r="BH46" i="8" s="1"/>
  <c r="BI46" i="8" s="1"/>
  <c r="BJ46" i="8" s="1"/>
  <c r="BK46" i="8" s="1"/>
  <c r="BL46" i="8" s="1"/>
  <c r="BM46" i="8" s="1"/>
  <c r="BN46" i="8" s="1"/>
  <c r="BO46" i="8" s="1"/>
  <c r="BP46" i="8" s="1"/>
  <c r="BQ46" i="8" s="1"/>
  <c r="BR46" i="8" s="1"/>
  <c r="BS46" i="8" s="1"/>
  <c r="BT46" i="8" s="1"/>
  <c r="Y84" i="8" s="1"/>
  <c r="X84" i="8" s="1"/>
  <c r="BC44" i="8"/>
  <c r="BD44" i="8" s="1"/>
  <c r="BE44" i="8" s="1"/>
  <c r="BF44" i="8" s="1"/>
  <c r="BG44" i="8" s="1"/>
  <c r="BH44" i="8" s="1"/>
  <c r="BI44" i="8" s="1"/>
  <c r="BJ44" i="8" s="1"/>
  <c r="BK44" i="8" s="1"/>
  <c r="BL44" i="8" s="1"/>
  <c r="BM44" i="8" s="1"/>
  <c r="BN44" i="8" s="1"/>
  <c r="BO44" i="8" s="1"/>
  <c r="BP44" i="8" s="1"/>
  <c r="BQ44" i="8" s="1"/>
  <c r="BR44" i="8" s="1"/>
  <c r="BS44" i="8" s="1"/>
  <c r="BT44" i="8" s="1"/>
  <c r="Y82" i="8" s="1"/>
  <c r="AW121" i="8" s="1"/>
  <c r="BI23" i="8"/>
  <c r="BJ23" i="8" s="1"/>
  <c r="BK23" i="8" s="1"/>
  <c r="BL23" i="8" s="1"/>
  <c r="BM23" i="8" s="1"/>
  <c r="BN23" i="8" s="1"/>
  <c r="S61" i="8" s="1"/>
  <c r="BH22" i="8"/>
  <c r="BI22" i="8" s="1"/>
  <c r="BJ22" i="8" s="1"/>
  <c r="BK22" i="8" s="1"/>
  <c r="BL22" i="8" s="1"/>
  <c r="BM22" i="8" s="1"/>
  <c r="BN22" i="8" s="1"/>
  <c r="BO22" i="8" s="1"/>
  <c r="T60" i="8" s="1"/>
  <c r="BJ33" i="8"/>
  <c r="BK33" i="8" s="1"/>
  <c r="BL33" i="8" s="1"/>
  <c r="BM33" i="8" s="1"/>
  <c r="BN33" i="8" s="1"/>
  <c r="BE40" i="8"/>
  <c r="BF40" i="8" s="1"/>
  <c r="BG40" i="8" s="1"/>
  <c r="BH40" i="8" s="1"/>
  <c r="BI40" i="8" s="1"/>
  <c r="BJ40" i="8" s="1"/>
  <c r="BK40" i="8" s="1"/>
  <c r="BL40" i="8" s="1"/>
  <c r="BM40" i="8" s="1"/>
  <c r="BN40" i="8" s="1"/>
  <c r="BO40" i="8" s="1"/>
  <c r="BP40" i="8" s="1"/>
  <c r="BQ40" i="8" s="1"/>
  <c r="BR40" i="8" s="1"/>
  <c r="BS40" i="8" s="1"/>
  <c r="BF19" i="8"/>
  <c r="BG19" i="8" s="1"/>
  <c r="BH19" i="8" s="1"/>
  <c r="BI19" i="8" s="1"/>
  <c r="BJ19" i="8" s="1"/>
  <c r="BK19" i="8" s="1"/>
  <c r="BL19" i="8" s="1"/>
  <c r="BM19" i="8" s="1"/>
  <c r="BN19" i="8" s="1"/>
  <c r="BO19" i="8" s="1"/>
  <c r="BP19" i="8" s="1"/>
  <c r="BQ19" i="8" s="1"/>
  <c r="BR19" i="8" s="1"/>
  <c r="BJ31" i="8"/>
  <c r="BK31" i="8" s="1"/>
  <c r="BL31" i="8" s="1"/>
  <c r="BM31" i="8" s="1"/>
  <c r="BN31" i="8" s="1"/>
  <c r="BC49" i="8"/>
  <c r="BD49" i="8" s="1"/>
  <c r="BE49" i="8" s="1"/>
  <c r="BF49" i="8" s="1"/>
  <c r="BG49" i="8" s="1"/>
  <c r="BH49" i="8" s="1"/>
  <c r="BI49" i="8" s="1"/>
  <c r="BJ49" i="8" s="1"/>
  <c r="BK49" i="8" s="1"/>
  <c r="BL49" i="8" s="1"/>
  <c r="BM49" i="8" s="1"/>
  <c r="BN49" i="8" s="1"/>
  <c r="BO49" i="8" s="1"/>
  <c r="BP49" i="8" s="1"/>
  <c r="BQ49" i="8" s="1"/>
  <c r="BR49" i="8" s="1"/>
  <c r="BS49" i="8" s="1"/>
  <c r="BT49" i="8" s="1"/>
  <c r="BC47" i="8"/>
  <c r="BD47" i="8" s="1"/>
  <c r="BE47" i="8" s="1"/>
  <c r="BF47" i="8" s="1"/>
  <c r="BG47" i="8" s="1"/>
  <c r="BH47" i="8" s="1"/>
  <c r="BI47" i="8" s="1"/>
  <c r="BJ47" i="8" s="1"/>
  <c r="BK47" i="8" s="1"/>
  <c r="BL47" i="8" s="1"/>
  <c r="BM47" i="8" s="1"/>
  <c r="BN47" i="8" s="1"/>
  <c r="BO47" i="8" s="1"/>
  <c r="BP47" i="8" s="1"/>
  <c r="BQ47" i="8" s="1"/>
  <c r="BR47" i="8" s="1"/>
  <c r="BS47" i="8" s="1"/>
  <c r="BT47" i="8" s="1"/>
  <c r="Y85" i="8" s="1"/>
  <c r="X85" i="8" s="1"/>
  <c r="BC45" i="8"/>
  <c r="BD45" i="8" s="1"/>
  <c r="BE45" i="8" s="1"/>
  <c r="BF45" i="8" s="1"/>
  <c r="BG45" i="8" s="1"/>
  <c r="BH45" i="8" s="1"/>
  <c r="BI45" i="8" s="1"/>
  <c r="BJ45" i="8" s="1"/>
  <c r="BK45" i="8" s="1"/>
  <c r="BL45" i="8" s="1"/>
  <c r="BM45" i="8" s="1"/>
  <c r="BN45" i="8" s="1"/>
  <c r="BO45" i="8" s="1"/>
  <c r="BP45" i="8" s="1"/>
  <c r="BQ45" i="8" s="1"/>
  <c r="BR45" i="8" s="1"/>
  <c r="BS45" i="8" s="1"/>
  <c r="BT45" i="8" s="1"/>
  <c r="Y83" i="8" s="1"/>
  <c r="X83" i="8" s="1"/>
  <c r="BC43" i="8"/>
  <c r="BD43" i="8" s="1"/>
  <c r="BE43" i="8" s="1"/>
  <c r="BF43" i="8" s="1"/>
  <c r="BG43" i="8" s="1"/>
  <c r="BH43" i="8" s="1"/>
  <c r="BI43" i="8" s="1"/>
  <c r="BJ43" i="8" s="1"/>
  <c r="BK43" i="8" s="1"/>
  <c r="BL43" i="8" s="1"/>
  <c r="BM43" i="8" s="1"/>
  <c r="BN43" i="8" s="1"/>
  <c r="BO43" i="8" s="1"/>
  <c r="BP43" i="8" s="1"/>
  <c r="BQ43" i="8" s="1"/>
  <c r="BR43" i="8" s="1"/>
  <c r="BS43" i="8" s="1"/>
  <c r="BT43" i="8" s="1"/>
  <c r="Y81" i="8" s="1"/>
  <c r="AW120" i="8" s="1"/>
  <c r="BJ26" i="8"/>
  <c r="BK26" i="8" s="1"/>
  <c r="BL26" i="8" s="1"/>
  <c r="BM26" i="8" s="1"/>
  <c r="BJ28" i="8"/>
  <c r="BK28" i="8" s="1"/>
  <c r="BL28" i="8" s="1"/>
  <c r="BM28" i="8" s="1"/>
  <c r="BN28" i="8" s="1"/>
  <c r="BJ30" i="8"/>
  <c r="BK30" i="8" s="1"/>
  <c r="BL30" i="8" s="1"/>
  <c r="BM30" i="8" s="1"/>
  <c r="BN30" i="8" s="1"/>
  <c r="BF39" i="8"/>
  <c r="BG39" i="8" s="1"/>
  <c r="BH39" i="8" s="1"/>
  <c r="BI39" i="8" s="1"/>
  <c r="BJ39" i="8" s="1"/>
  <c r="BK39" i="8" s="1"/>
  <c r="BL39" i="8" s="1"/>
  <c r="BM39" i="8" s="1"/>
  <c r="BN39" i="8" s="1"/>
  <c r="BO39" i="8" s="1"/>
  <c r="BP39" i="8" s="1"/>
  <c r="BQ39" i="8" s="1"/>
  <c r="BR39" i="8" s="1"/>
  <c r="BF20" i="8"/>
  <c r="BG20" i="8" s="1"/>
  <c r="BH20" i="8" s="1"/>
  <c r="BI20" i="8" s="1"/>
  <c r="BJ20" i="8" s="1"/>
  <c r="BK20" i="8" s="1"/>
  <c r="BL20" i="8" s="1"/>
  <c r="BM20" i="8" s="1"/>
  <c r="BN20" i="8" s="1"/>
  <c r="BO20" i="8" s="1"/>
  <c r="BP20" i="8" s="1"/>
  <c r="BQ20" i="8" s="1"/>
  <c r="V58" i="8" s="1"/>
  <c r="BJ32" i="8"/>
  <c r="BK32" i="8" s="1"/>
  <c r="BL32" i="8" s="1"/>
  <c r="BM32" i="8" s="1"/>
  <c r="BN32" i="8" s="1"/>
  <c r="BJ24" i="8"/>
  <c r="BK24" i="8" s="1"/>
  <c r="BL24" i="8" s="1"/>
  <c r="BM24" i="8" s="1"/>
  <c r="BN24" i="8" s="1"/>
  <c r="BF38" i="8"/>
  <c r="BG38" i="8" s="1"/>
  <c r="BH38" i="8" s="1"/>
  <c r="BI38" i="8" s="1"/>
  <c r="BJ38" i="8" s="1"/>
  <c r="BK38" i="8" s="1"/>
  <c r="BL38" i="8" s="1"/>
  <c r="BM38" i="8" s="1"/>
  <c r="BN38" i="8" s="1"/>
  <c r="BO38" i="8" s="1"/>
  <c r="BP38" i="8" s="1"/>
  <c r="BQ38" i="8" s="1"/>
  <c r="BR38" i="8" s="1"/>
  <c r="BG21" i="8"/>
  <c r="BH21" i="8" s="1"/>
  <c r="BI21" i="8" s="1"/>
  <c r="BJ21" i="8" s="1"/>
  <c r="BK21" i="8" s="1"/>
  <c r="BL21" i="8" s="1"/>
  <c r="BM21" i="8" s="1"/>
  <c r="BN21" i="8" s="1"/>
  <c r="BO21" i="8" s="1"/>
  <c r="BP21" i="8" s="1"/>
  <c r="BJ25" i="8"/>
  <c r="BK25" i="8" s="1"/>
  <c r="BL25" i="8" s="1"/>
  <c r="BM25" i="8" s="1"/>
  <c r="BN25" i="8" s="1"/>
  <c r="BD42" i="8"/>
  <c r="BE42" i="8" s="1"/>
  <c r="BF42" i="8" s="1"/>
  <c r="BG42" i="8" s="1"/>
  <c r="BH42" i="8" s="1"/>
  <c r="BI42" i="8" s="1"/>
  <c r="BJ42" i="8" s="1"/>
  <c r="BK42" i="8" s="1"/>
  <c r="BL42" i="8" s="1"/>
  <c r="BM42" i="8" s="1"/>
  <c r="BN42" i="8" s="1"/>
  <c r="BO42" i="8" s="1"/>
  <c r="BP42" i="8" s="1"/>
  <c r="BQ42" i="8" s="1"/>
  <c r="BR42" i="8" s="1"/>
  <c r="BS42" i="8" s="1"/>
  <c r="BT42" i="8" s="1"/>
  <c r="BE41" i="8"/>
  <c r="BF41" i="8" s="1"/>
  <c r="BG41" i="8" s="1"/>
  <c r="BH41" i="8" s="1"/>
  <c r="BI41" i="8" s="1"/>
  <c r="BJ41" i="8" s="1"/>
  <c r="BK41" i="8" s="1"/>
  <c r="BL41" i="8" s="1"/>
  <c r="BM41" i="8" s="1"/>
  <c r="BN41" i="8" s="1"/>
  <c r="BO41" i="8" s="1"/>
  <c r="BP41" i="8" s="1"/>
  <c r="BQ41" i="8" s="1"/>
  <c r="BR41" i="8" s="1"/>
  <c r="W79" i="8" s="1"/>
  <c r="BF17" i="8"/>
  <c r="BG17" i="8" s="1"/>
  <c r="BH17" i="8" s="1"/>
  <c r="BI17" i="8" s="1"/>
  <c r="BJ17" i="8" s="1"/>
  <c r="BK17" i="8" s="1"/>
  <c r="BL17" i="8" s="1"/>
  <c r="BM17" i="8" s="1"/>
  <c r="BN17" i="8" s="1"/>
  <c r="BO17" i="8" s="1"/>
  <c r="BP17" i="8" s="1"/>
  <c r="BQ17" i="8" s="1"/>
  <c r="BR17" i="8" s="1"/>
  <c r="BJ29" i="8"/>
  <c r="BK29" i="8" s="1"/>
  <c r="BL29" i="8" s="1"/>
  <c r="BM29" i="8" s="1"/>
  <c r="BN29" i="8" s="1"/>
  <c r="BG36" i="8"/>
  <c r="BH36" i="8" s="1"/>
  <c r="BI36" i="8" s="1"/>
  <c r="BJ36" i="8" s="1"/>
  <c r="BK36" i="8" s="1"/>
  <c r="BL36" i="8" s="1"/>
  <c r="BM36" i="8" s="1"/>
  <c r="BN36" i="8" s="1"/>
  <c r="BO36" i="8" s="1"/>
  <c r="BP36" i="8" s="1"/>
  <c r="BQ36" i="8" s="1"/>
  <c r="BF18" i="8"/>
  <c r="BG18" i="8" s="1"/>
  <c r="BH18" i="8" s="1"/>
  <c r="BI18" i="8" s="1"/>
  <c r="BJ18" i="8" s="1"/>
  <c r="BK18" i="8" s="1"/>
  <c r="BL18" i="8" s="1"/>
  <c r="BM18" i="8" s="1"/>
  <c r="BN18" i="8" s="1"/>
  <c r="BO18" i="8" s="1"/>
  <c r="BP18" i="8" s="1"/>
  <c r="BQ18" i="8" s="1"/>
  <c r="BR18" i="8" s="1"/>
  <c r="BH35" i="8"/>
  <c r="BI35" i="8" s="1"/>
  <c r="BJ35" i="8" s="1"/>
  <c r="BK35" i="8" s="1"/>
  <c r="BL35" i="8" s="1"/>
  <c r="BM35" i="8" s="1"/>
  <c r="BN35" i="8" s="1"/>
  <c r="BO35" i="8" s="1"/>
  <c r="T73" i="8" s="1"/>
  <c r="BQ113" i="8"/>
  <c r="BQ114" i="8" s="1"/>
  <c r="BQ115" i="8" s="1"/>
  <c r="BQ116" i="8" s="1"/>
  <c r="BQ117" i="8" s="1"/>
  <c r="BQ118" i="8" s="1"/>
  <c r="BQ119" i="8" s="1"/>
  <c r="BQ120" i="8" s="1"/>
  <c r="BQ121" i="8" s="1"/>
  <c r="BQ122" i="8" s="1"/>
  <c r="BQ123" i="8" s="1"/>
  <c r="BQ124" i="8" s="1"/>
  <c r="BQ125" i="8" s="1"/>
  <c r="BQ126" i="8" s="1"/>
  <c r="BQ127" i="8" s="1"/>
  <c r="BR114" i="8"/>
  <c r="BR115" i="8" s="1"/>
  <c r="BR116" i="8" s="1"/>
  <c r="BR117" i="8" s="1"/>
  <c r="BR118" i="8" s="1"/>
  <c r="BR119" i="8" s="1"/>
  <c r="BR120" i="8" s="1"/>
  <c r="BR121" i="8" s="1"/>
  <c r="BR122" i="8" s="1"/>
  <c r="BR123" i="8" s="1"/>
  <c r="BR124" i="8" s="1"/>
  <c r="BR125" i="8" s="1"/>
  <c r="BR126" i="8" s="1"/>
  <c r="BR127" i="8" s="1"/>
  <c r="BS118" i="8"/>
  <c r="BS119" i="8" s="1"/>
  <c r="BS120" i="8" s="1"/>
  <c r="BS121" i="8" s="1"/>
  <c r="BS122" i="8" s="1"/>
  <c r="BS123" i="8" s="1"/>
  <c r="BS124" i="8" s="1"/>
  <c r="BS125" i="8" s="1"/>
  <c r="BS126" i="8" s="1"/>
  <c r="BS127" i="8" s="1"/>
  <c r="BN112" i="8"/>
  <c r="BQ81" i="8"/>
  <c r="BR81" i="8" s="1"/>
  <c r="BS81" i="8" s="1"/>
  <c r="BT81" i="8" s="1"/>
  <c r="BU81" i="8" s="1"/>
  <c r="BN59" i="8"/>
  <c r="BO59" i="8" s="1"/>
  <c r="BP59" i="8" s="1"/>
  <c r="BQ59" i="8" s="1"/>
  <c r="G14" i="8"/>
  <c r="R69" i="8" l="1"/>
  <c r="Q69" i="8" s="1"/>
  <c r="R70" i="8"/>
  <c r="AP109" i="8" s="1"/>
  <c r="Y87" i="8"/>
  <c r="X87" i="8" s="1"/>
  <c r="W87" i="8" s="1"/>
  <c r="BU49" i="8"/>
  <c r="BR20" i="8"/>
  <c r="BP22" i="8"/>
  <c r="X81" i="8"/>
  <c r="AV120" i="8" s="1"/>
  <c r="BU43" i="8"/>
  <c r="BO34" i="8"/>
  <c r="BR37" i="8"/>
  <c r="R68" i="8"/>
  <c r="Q68" i="8" s="1"/>
  <c r="R62" i="8"/>
  <c r="Q62" i="8" s="1"/>
  <c r="V77" i="8"/>
  <c r="U77" i="8" s="1"/>
  <c r="V55" i="8"/>
  <c r="AT94" i="8" s="1"/>
  <c r="BQ132" i="8" s="1"/>
  <c r="BS41" i="8"/>
  <c r="AW122" i="8"/>
  <c r="V76" i="8"/>
  <c r="AT115" i="8" s="1"/>
  <c r="W78" i="8"/>
  <c r="AU117" i="8" s="1"/>
  <c r="BN26" i="8"/>
  <c r="R64" i="8"/>
  <c r="Q64" i="8" s="1"/>
  <c r="AW124" i="8"/>
  <c r="R63" i="8"/>
  <c r="Q63" i="8" s="1"/>
  <c r="V57" i="8"/>
  <c r="AT96" i="8" s="1"/>
  <c r="BU45" i="8"/>
  <c r="R67" i="8"/>
  <c r="Q67" i="8" s="1"/>
  <c r="R66" i="8"/>
  <c r="Q66" i="8" s="1"/>
  <c r="R65" i="8"/>
  <c r="Q65" i="8" s="1"/>
  <c r="BU47" i="8"/>
  <c r="U74" i="8"/>
  <c r="T74" i="8" s="1"/>
  <c r="BO23" i="8"/>
  <c r="BU46" i="8"/>
  <c r="R71" i="8"/>
  <c r="Q71" i="8" s="1"/>
  <c r="BP35" i="8"/>
  <c r="V56" i="8"/>
  <c r="U56" i="8" s="1"/>
  <c r="Y88" i="8"/>
  <c r="AW127" i="8" s="1"/>
  <c r="X82" i="8"/>
  <c r="AV121" i="8" s="1"/>
  <c r="X80" i="8"/>
  <c r="AV119" i="8" s="1"/>
  <c r="AW123" i="8"/>
  <c r="BU44" i="8"/>
  <c r="U58" i="8"/>
  <c r="AT97" i="8"/>
  <c r="U75" i="8"/>
  <c r="AT114" i="8"/>
  <c r="W85" i="8"/>
  <c r="AV124" i="8"/>
  <c r="W84" i="8"/>
  <c r="AV123" i="8"/>
  <c r="AV122" i="8"/>
  <c r="W83" i="8"/>
  <c r="BQ21" i="8"/>
  <c r="U59" i="8"/>
  <c r="S73" i="8"/>
  <c r="AR112" i="8"/>
  <c r="V79" i="8"/>
  <c r="AU118" i="8"/>
  <c r="AW125" i="8"/>
  <c r="X86" i="8"/>
  <c r="BU48" i="8"/>
  <c r="R72" i="8"/>
  <c r="AQ111" i="8"/>
  <c r="S60" i="8"/>
  <c r="AR99" i="8"/>
  <c r="R61" i="8"/>
  <c r="AQ100" i="8"/>
  <c r="BN113" i="8"/>
  <c r="AH54" i="8"/>
  <c r="BE16" i="8" s="1"/>
  <c r="H14" i="8"/>
  <c r="C15" i="8"/>
  <c r="C17" i="8" s="1"/>
  <c r="C16" i="8"/>
  <c r="C22" i="8"/>
  <c r="Q70" i="8" l="1"/>
  <c r="P70" i="8" s="1"/>
  <c r="AP107" i="8"/>
  <c r="AV126" i="8"/>
  <c r="AP108" i="8"/>
  <c r="AP102" i="8"/>
  <c r="V78" i="8"/>
  <c r="AT117" i="8" s="1"/>
  <c r="AW126" i="8"/>
  <c r="W81" i="8"/>
  <c r="V81" i="8" s="1"/>
  <c r="U55" i="8"/>
  <c r="AS94" i="8" s="1"/>
  <c r="BP132" i="8" s="1"/>
  <c r="AP101" i="8"/>
  <c r="U76" i="8"/>
  <c r="T76" i="8" s="1"/>
  <c r="AP106" i="8"/>
  <c r="AP105" i="8"/>
  <c r="AT116" i="8"/>
  <c r="W82" i="8"/>
  <c r="V82" i="8" s="1"/>
  <c r="AP103" i="8"/>
  <c r="W80" i="8"/>
  <c r="AU119" i="8" s="1"/>
  <c r="AS113" i="8"/>
  <c r="AT95" i="8"/>
  <c r="BQ133" i="8" s="1"/>
  <c r="BQ134" i="8" s="1"/>
  <c r="BQ135" i="8" s="1"/>
  <c r="U57" i="8"/>
  <c r="AS96" i="8" s="1"/>
  <c r="X88" i="8"/>
  <c r="W88" i="8" s="1"/>
  <c r="AP104" i="8"/>
  <c r="AP110" i="8"/>
  <c r="AP111" i="8"/>
  <c r="Q72" i="8"/>
  <c r="V87" i="8"/>
  <c r="AU126" i="8"/>
  <c r="U79" i="8"/>
  <c r="AT118" i="8"/>
  <c r="V84" i="8"/>
  <c r="AU123" i="8"/>
  <c r="P62" i="8"/>
  <c r="AO101" i="8"/>
  <c r="P65" i="8"/>
  <c r="AO104" i="8"/>
  <c r="V85" i="8"/>
  <c r="AU124" i="8"/>
  <c r="Q61" i="8"/>
  <c r="AP100" i="8"/>
  <c r="V94" i="8"/>
  <c r="V83" i="8"/>
  <c r="AU122" i="8"/>
  <c r="T59" i="8"/>
  <c r="AS98" i="8"/>
  <c r="T58" i="8"/>
  <c r="AS97" i="8"/>
  <c r="T77" i="8"/>
  <c r="AS116" i="8"/>
  <c r="P69" i="8"/>
  <c r="AO108" i="8"/>
  <c r="P66" i="8"/>
  <c r="AO105" i="8"/>
  <c r="R60" i="8"/>
  <c r="AQ99" i="8"/>
  <c r="P67" i="8"/>
  <c r="AO106" i="8"/>
  <c r="P68" i="8"/>
  <c r="AO107" i="8"/>
  <c r="S74" i="8"/>
  <c r="AR113" i="8"/>
  <c r="T56" i="8"/>
  <c r="AS95" i="8"/>
  <c r="AV125" i="8"/>
  <c r="W86" i="8"/>
  <c r="P71" i="8"/>
  <c r="AO110" i="8"/>
  <c r="T75" i="8"/>
  <c r="AS114" i="8"/>
  <c r="P64" i="8"/>
  <c r="AO103" i="8"/>
  <c r="R73" i="8"/>
  <c r="AQ112" i="8"/>
  <c r="P63" i="8"/>
  <c r="AO102" i="8"/>
  <c r="BN114" i="8"/>
  <c r="AI54" i="8"/>
  <c r="BF16" i="8" s="1"/>
  <c r="I14" i="8"/>
  <c r="AO109" i="8" l="1"/>
  <c r="AU121" i="8"/>
  <c r="T55" i="8"/>
  <c r="S55" i="8" s="1"/>
  <c r="T57" i="8"/>
  <c r="S57" i="8" s="1"/>
  <c r="AS115" i="8"/>
  <c r="U78" i="8"/>
  <c r="T78" i="8" s="1"/>
  <c r="AU120" i="8"/>
  <c r="V80" i="8"/>
  <c r="AT119" i="8" s="1"/>
  <c r="AV127" i="8"/>
  <c r="O64" i="8"/>
  <c r="AN103" i="8"/>
  <c r="S76" i="8"/>
  <c r="AR115" i="8"/>
  <c r="O68" i="8"/>
  <c r="AN107" i="8"/>
  <c r="S77" i="8"/>
  <c r="AR116" i="8"/>
  <c r="U83" i="8"/>
  <c r="AT122" i="8"/>
  <c r="U85" i="8"/>
  <c r="AT124" i="8"/>
  <c r="U84" i="8"/>
  <c r="AT123" i="8"/>
  <c r="U82" i="8"/>
  <c r="AT121" i="8"/>
  <c r="AU125" i="8"/>
  <c r="V86" i="8"/>
  <c r="S75" i="8"/>
  <c r="AR114" i="8"/>
  <c r="O67" i="8"/>
  <c r="AN106" i="8"/>
  <c r="O70" i="8"/>
  <c r="AN109" i="8"/>
  <c r="S58" i="8"/>
  <c r="AR97" i="8"/>
  <c r="V95" i="8"/>
  <c r="V96" i="8" s="1"/>
  <c r="V97" i="8" s="1"/>
  <c r="T79" i="8"/>
  <c r="AS118" i="8"/>
  <c r="Q73" i="8"/>
  <c r="AP112" i="8"/>
  <c r="S56" i="8"/>
  <c r="AR95" i="8"/>
  <c r="O69" i="8"/>
  <c r="AN108" i="8"/>
  <c r="O65" i="8"/>
  <c r="AN104" i="8"/>
  <c r="O63" i="8"/>
  <c r="AN102" i="8"/>
  <c r="O71" i="8"/>
  <c r="AN110" i="8"/>
  <c r="Q60" i="8"/>
  <c r="AP99" i="8"/>
  <c r="S59" i="8"/>
  <c r="AR98" i="8"/>
  <c r="U81" i="8"/>
  <c r="AT120" i="8"/>
  <c r="U87" i="8"/>
  <c r="AT126" i="8"/>
  <c r="U94" i="8"/>
  <c r="BP133" i="8"/>
  <c r="BP134" i="8" s="1"/>
  <c r="BP135" i="8" s="1"/>
  <c r="BP136" i="8" s="1"/>
  <c r="P72" i="8"/>
  <c r="AO111" i="8"/>
  <c r="R74" i="8"/>
  <c r="AQ113" i="8"/>
  <c r="O66" i="8"/>
  <c r="AN105" i="8"/>
  <c r="V88" i="8"/>
  <c r="AU127" i="8"/>
  <c r="P61" i="8"/>
  <c r="AO100" i="8"/>
  <c r="O62" i="8"/>
  <c r="AN101" i="8"/>
  <c r="BN115" i="8"/>
  <c r="AJ54" i="8"/>
  <c r="BG16" i="8" s="1"/>
  <c r="J14" i="8"/>
  <c r="AR96" i="8" l="1"/>
  <c r="AR94" i="8"/>
  <c r="BO132" i="8" s="1"/>
  <c r="BO133" i="8" s="1"/>
  <c r="AS117" i="8"/>
  <c r="U80" i="8"/>
  <c r="AS119" i="8" s="1"/>
  <c r="U95" i="8"/>
  <c r="U96" i="8" s="1"/>
  <c r="U97" i="8" s="1"/>
  <c r="U98" i="8" s="1"/>
  <c r="P60" i="8"/>
  <c r="AO99" i="8"/>
  <c r="N67" i="8"/>
  <c r="AL106" i="8" s="1"/>
  <c r="AM106" i="8"/>
  <c r="T84" i="8"/>
  <c r="AS123" i="8"/>
  <c r="N65" i="8"/>
  <c r="AL104" i="8" s="1"/>
  <c r="AM104" i="8"/>
  <c r="R75" i="8"/>
  <c r="AQ114" i="8"/>
  <c r="T85" i="8"/>
  <c r="AS124" i="8"/>
  <c r="N68" i="8"/>
  <c r="AL107" i="8" s="1"/>
  <c r="AM107" i="8"/>
  <c r="S79" i="8"/>
  <c r="AR118" i="8"/>
  <c r="T87" i="8"/>
  <c r="AS126" i="8"/>
  <c r="N69" i="8"/>
  <c r="AL108" i="8" s="1"/>
  <c r="AM108" i="8"/>
  <c r="O61" i="8"/>
  <c r="AN100" i="8"/>
  <c r="Q74" i="8"/>
  <c r="AP113" i="8"/>
  <c r="T81" i="8"/>
  <c r="AS120" i="8"/>
  <c r="N63" i="8"/>
  <c r="AL102" i="8" s="1"/>
  <c r="AM102" i="8"/>
  <c r="R56" i="8"/>
  <c r="AQ95" i="8"/>
  <c r="U86" i="8"/>
  <c r="AT125" i="8"/>
  <c r="R55" i="8"/>
  <c r="AQ94" i="8"/>
  <c r="BN132" i="8" s="1"/>
  <c r="R58" i="8"/>
  <c r="AQ97" i="8"/>
  <c r="T83" i="8"/>
  <c r="AS122" i="8"/>
  <c r="R76" i="8"/>
  <c r="AQ115" i="8"/>
  <c r="N66" i="8"/>
  <c r="AL105" i="8" s="1"/>
  <c r="AM105" i="8"/>
  <c r="N71" i="8"/>
  <c r="AL110" i="8" s="1"/>
  <c r="AM110" i="8"/>
  <c r="S78" i="8"/>
  <c r="AR117" i="8"/>
  <c r="U88" i="8"/>
  <c r="AT127" i="8"/>
  <c r="O72" i="8"/>
  <c r="AN111" i="8"/>
  <c r="R59" i="8"/>
  <c r="AQ98" i="8"/>
  <c r="R57" i="8"/>
  <c r="AQ96" i="8"/>
  <c r="P73" i="8"/>
  <c r="AO112" i="8"/>
  <c r="N62" i="8"/>
  <c r="AL101" i="8" s="1"/>
  <c r="AM101" i="8"/>
  <c r="BP137" i="8"/>
  <c r="BQ136" i="8"/>
  <c r="V98" i="8" s="1"/>
  <c r="N70" i="8"/>
  <c r="AL109" i="8" s="1"/>
  <c r="AM109" i="8"/>
  <c r="T82" i="8"/>
  <c r="AS121" i="8"/>
  <c r="R77" i="8"/>
  <c r="AQ116" i="8"/>
  <c r="N64" i="8"/>
  <c r="AL103" i="8" s="1"/>
  <c r="AM103" i="8"/>
  <c r="BN116" i="8"/>
  <c r="AK54" i="8"/>
  <c r="BH16" i="8" s="1"/>
  <c r="K14" i="8"/>
  <c r="BO134" i="8" l="1"/>
  <c r="BO135" i="8" s="1"/>
  <c r="BO136" i="8" s="1"/>
  <c r="BO137" i="8" s="1"/>
  <c r="BO138" i="8" s="1"/>
  <c r="T94" i="8"/>
  <c r="T95" i="8" s="1"/>
  <c r="T80" i="8"/>
  <c r="S80" i="8" s="1"/>
  <c r="U99" i="8"/>
  <c r="Q57" i="8"/>
  <c r="AP96" i="8"/>
  <c r="Q56" i="8"/>
  <c r="AP95" i="8"/>
  <c r="Q77" i="8"/>
  <c r="AP116" i="8"/>
  <c r="Q59" i="8"/>
  <c r="AP98" i="8"/>
  <c r="S83" i="8"/>
  <c r="AR122" i="8"/>
  <c r="N72" i="8"/>
  <c r="AM111" i="8"/>
  <c r="Q55" i="8"/>
  <c r="AP94" i="8"/>
  <c r="BM132" i="8" s="1"/>
  <c r="S81" i="8"/>
  <c r="AR120" i="8"/>
  <c r="S87" i="8"/>
  <c r="AR126" i="8"/>
  <c r="Q75" i="8"/>
  <c r="AP114" i="8"/>
  <c r="R78" i="8"/>
  <c r="AQ117" i="8"/>
  <c r="O60" i="8"/>
  <c r="AN99" i="8"/>
  <c r="BN133" i="8"/>
  <c r="BN134" i="8" s="1"/>
  <c r="BN135" i="8" s="1"/>
  <c r="BN136" i="8" s="1"/>
  <c r="BN137" i="8" s="1"/>
  <c r="BN138" i="8" s="1"/>
  <c r="BN139" i="8" s="1"/>
  <c r="BN140" i="8" s="1"/>
  <c r="BN141" i="8" s="1"/>
  <c r="BN142" i="8" s="1"/>
  <c r="BN143" i="8" s="1"/>
  <c r="BN144" i="8" s="1"/>
  <c r="BN145" i="8" s="1"/>
  <c r="BN146" i="8" s="1"/>
  <c r="BN147" i="8" s="1"/>
  <c r="BN148" i="8" s="1"/>
  <c r="BN149" i="8" s="1"/>
  <c r="S94" i="8"/>
  <c r="S84" i="8"/>
  <c r="AR123" i="8"/>
  <c r="T88" i="8"/>
  <c r="AS127" i="8"/>
  <c r="N61" i="8"/>
  <c r="AM100" i="8"/>
  <c r="Q58" i="8"/>
  <c r="AP97" i="8"/>
  <c r="S85" i="8"/>
  <c r="AR124" i="8"/>
  <c r="S82" i="8"/>
  <c r="AR121" i="8"/>
  <c r="O73" i="8"/>
  <c r="AN112" i="8"/>
  <c r="Q76" i="8"/>
  <c r="AP115" i="8"/>
  <c r="T86" i="8"/>
  <c r="AS125" i="8"/>
  <c r="P74" i="8"/>
  <c r="AO113" i="8"/>
  <c r="R79" i="8"/>
  <c r="AQ118" i="8"/>
  <c r="BN117" i="8"/>
  <c r="AL54" i="8"/>
  <c r="BI16" i="8" s="1"/>
  <c r="L14" i="8"/>
  <c r="T96" i="8" l="1"/>
  <c r="T97" i="8" s="1"/>
  <c r="T98" i="8" s="1"/>
  <c r="T99" i="8" s="1"/>
  <c r="T100" i="8" s="1"/>
  <c r="AR119" i="8"/>
  <c r="P58" i="8"/>
  <c r="AO97" i="8"/>
  <c r="M61" i="8"/>
  <c r="AK100" i="8" s="1"/>
  <c r="AL100" i="8"/>
  <c r="R81" i="8"/>
  <c r="AQ120" i="8"/>
  <c r="BM133" i="8"/>
  <c r="BM134" i="8" s="1"/>
  <c r="BM135" i="8" s="1"/>
  <c r="BM136" i="8" s="1"/>
  <c r="BM137" i="8" s="1"/>
  <c r="BM138" i="8" s="1"/>
  <c r="BM139" i="8" s="1"/>
  <c r="BM140" i="8" s="1"/>
  <c r="BM141" i="8" s="1"/>
  <c r="BM142" i="8" s="1"/>
  <c r="BM143" i="8" s="1"/>
  <c r="BM144" i="8" s="1"/>
  <c r="BM145" i="8" s="1"/>
  <c r="BM146" i="8" s="1"/>
  <c r="BM147" i="8" s="1"/>
  <c r="BM148" i="8" s="1"/>
  <c r="BM149" i="8" s="1"/>
  <c r="BM150" i="8" s="1"/>
  <c r="BM151" i="8" s="1"/>
  <c r="BM152" i="8" s="1"/>
  <c r="BM153" i="8" s="1"/>
  <c r="BM154" i="8" s="1"/>
  <c r="R94" i="8"/>
  <c r="O74" i="8"/>
  <c r="AN113" i="8"/>
  <c r="S88" i="8"/>
  <c r="AR127" i="8"/>
  <c r="P55" i="8"/>
  <c r="AO94" i="8"/>
  <c r="BL132" i="8" s="1"/>
  <c r="P76" i="8"/>
  <c r="AO115" i="8"/>
  <c r="N73" i="8"/>
  <c r="AM112" i="8"/>
  <c r="N60" i="8"/>
  <c r="AM99" i="8"/>
  <c r="P57" i="8"/>
  <c r="AO96" i="8"/>
  <c r="Q78" i="8"/>
  <c r="AP117" i="8"/>
  <c r="P59" i="8"/>
  <c r="AO98" i="8"/>
  <c r="S86" i="8"/>
  <c r="AR125" i="8"/>
  <c r="R85" i="8"/>
  <c r="AQ124" i="8"/>
  <c r="R84" i="8"/>
  <c r="AQ123" i="8"/>
  <c r="P75" i="8"/>
  <c r="AO114" i="8"/>
  <c r="M72" i="8"/>
  <c r="AK111" i="8" s="1"/>
  <c r="AL111" i="8"/>
  <c r="P77" i="8"/>
  <c r="AO116" i="8"/>
  <c r="Q79" i="8"/>
  <c r="AP118" i="8"/>
  <c r="R80" i="8"/>
  <c r="AQ119" i="8"/>
  <c r="R82" i="8"/>
  <c r="AQ121" i="8"/>
  <c r="S95" i="8"/>
  <c r="S96" i="8" s="1"/>
  <c r="S97" i="8" s="1"/>
  <c r="S98" i="8" s="1"/>
  <c r="S99" i="8" s="1"/>
  <c r="S100" i="8" s="1"/>
  <c r="S101" i="8" s="1"/>
  <c r="S102" i="8" s="1"/>
  <c r="S103" i="8" s="1"/>
  <c r="S104" i="8" s="1"/>
  <c r="S105" i="8" s="1"/>
  <c r="S106" i="8" s="1"/>
  <c r="S107" i="8" s="1"/>
  <c r="S108" i="8" s="1"/>
  <c r="S109" i="8" s="1"/>
  <c r="S110" i="8" s="1"/>
  <c r="BN150" i="8"/>
  <c r="BN151" i="8" s="1"/>
  <c r="BN152" i="8" s="1"/>
  <c r="BN153" i="8" s="1"/>
  <c r="BN154" i="8" s="1"/>
  <c r="BN155" i="8" s="1"/>
  <c r="BN156" i="8" s="1"/>
  <c r="BO149" i="8"/>
  <c r="R87" i="8"/>
  <c r="AQ126" i="8"/>
  <c r="R83" i="8"/>
  <c r="AQ122" i="8"/>
  <c r="P56" i="8"/>
  <c r="AO95" i="8"/>
  <c r="BN118" i="8"/>
  <c r="AM54" i="8"/>
  <c r="BJ16" i="8" s="1"/>
  <c r="M14" i="8"/>
  <c r="N14" i="8" s="1"/>
  <c r="S111" i="8" l="1"/>
  <c r="S112" i="8" s="1"/>
  <c r="S113" i="8" s="1"/>
  <c r="S114" i="8" s="1"/>
  <c r="S115" i="8" s="1"/>
  <c r="S116" i="8" s="1"/>
  <c r="S117" i="8" s="1"/>
  <c r="S118" i="8" s="1"/>
  <c r="T111" i="8"/>
  <c r="R95" i="8"/>
  <c r="R96" i="8" s="1"/>
  <c r="R97" i="8" s="1"/>
  <c r="R98" i="8" s="1"/>
  <c r="R99" i="8" s="1"/>
  <c r="R100" i="8" s="1"/>
  <c r="R101" i="8" s="1"/>
  <c r="R102" i="8" s="1"/>
  <c r="R103" i="8" s="1"/>
  <c r="R104" i="8" s="1"/>
  <c r="R105" i="8" s="1"/>
  <c r="R106" i="8" s="1"/>
  <c r="R107" i="8" s="1"/>
  <c r="R108" i="8" s="1"/>
  <c r="R109" i="8" s="1"/>
  <c r="R110" i="8" s="1"/>
  <c r="R111" i="8" s="1"/>
  <c r="R112" i="8" s="1"/>
  <c r="R113" i="8" s="1"/>
  <c r="R114" i="8" s="1"/>
  <c r="R115" i="8" s="1"/>
  <c r="R116" i="8" s="1"/>
  <c r="BN157" i="8"/>
  <c r="BN158" i="8" s="1"/>
  <c r="BN159" i="8" s="1"/>
  <c r="BN160" i="8" s="1"/>
  <c r="BN161" i="8" s="1"/>
  <c r="BN162" i="8" s="1"/>
  <c r="BO150" i="8"/>
  <c r="P79" i="8"/>
  <c r="AO118" i="8"/>
  <c r="Q84" i="8"/>
  <c r="AP123" i="8"/>
  <c r="P78" i="8"/>
  <c r="AO117" i="8"/>
  <c r="O76" i="8"/>
  <c r="AN115" i="8"/>
  <c r="BM155" i="8"/>
  <c r="BM156" i="8" s="1"/>
  <c r="O77" i="8"/>
  <c r="AN116" i="8"/>
  <c r="Q85" i="8"/>
  <c r="AP124" i="8"/>
  <c r="O57" i="8"/>
  <c r="AN96" i="8"/>
  <c r="O55" i="8"/>
  <c r="AN94" i="8"/>
  <c r="BK132" i="8" s="1"/>
  <c r="Q81" i="8"/>
  <c r="AP120" i="8"/>
  <c r="O56" i="8"/>
  <c r="AN95" i="8"/>
  <c r="Q87" i="8"/>
  <c r="AP126" i="8"/>
  <c r="Q82" i="8"/>
  <c r="AP121" i="8"/>
  <c r="R86" i="8"/>
  <c r="AQ125" i="8"/>
  <c r="M60" i="8"/>
  <c r="AL99" i="8"/>
  <c r="R88" i="8"/>
  <c r="AQ127" i="8"/>
  <c r="Q83" i="8"/>
  <c r="AP122" i="8"/>
  <c r="BL133" i="8"/>
  <c r="BL134" i="8" s="1"/>
  <c r="BL135" i="8" s="1"/>
  <c r="BL136" i="8" s="1"/>
  <c r="BL137" i="8" s="1"/>
  <c r="BL138" i="8" s="1"/>
  <c r="BL139" i="8" s="1"/>
  <c r="BL140" i="8" s="1"/>
  <c r="BL141" i="8" s="1"/>
  <c r="BL142" i="8" s="1"/>
  <c r="BL143" i="8" s="1"/>
  <c r="BL144" i="8" s="1"/>
  <c r="BL145" i="8" s="1"/>
  <c r="BL146" i="8" s="1"/>
  <c r="BL147" i="8" s="1"/>
  <c r="BL148" i="8" s="1"/>
  <c r="BL149" i="8" s="1"/>
  <c r="BL150" i="8" s="1"/>
  <c r="BL151" i="8" s="1"/>
  <c r="BL152" i="8" s="1"/>
  <c r="BL153" i="8" s="1"/>
  <c r="BL154" i="8" s="1"/>
  <c r="Q94" i="8"/>
  <c r="Q80" i="8"/>
  <c r="AP119" i="8"/>
  <c r="O75" i="8"/>
  <c r="AN114" i="8"/>
  <c r="O59" i="8"/>
  <c r="AN98" i="8"/>
  <c r="M73" i="8"/>
  <c r="AL112" i="8"/>
  <c r="N74" i="8"/>
  <c r="AM113" i="8"/>
  <c r="O58" i="8"/>
  <c r="AN97" i="8"/>
  <c r="BN119" i="8"/>
  <c r="AN54" i="8"/>
  <c r="BK16" i="8" s="1"/>
  <c r="T112" i="8" l="1"/>
  <c r="R117" i="8"/>
  <c r="R118" i="8" s="1"/>
  <c r="Q95" i="8"/>
  <c r="Q96" i="8" s="1"/>
  <c r="Q97" i="8" s="1"/>
  <c r="Q98" i="8" s="1"/>
  <c r="Q99" i="8" s="1"/>
  <c r="Q100" i="8" s="1"/>
  <c r="Q101" i="8" s="1"/>
  <c r="Q102" i="8" s="1"/>
  <c r="Q103" i="8" s="1"/>
  <c r="Q104" i="8" s="1"/>
  <c r="Q105" i="8" s="1"/>
  <c r="Q106" i="8" s="1"/>
  <c r="Q107" i="8" s="1"/>
  <c r="Q108" i="8" s="1"/>
  <c r="Q109" i="8" s="1"/>
  <c r="Q110" i="8" s="1"/>
  <c r="Q111" i="8" s="1"/>
  <c r="Q112" i="8" s="1"/>
  <c r="Q113" i="8" s="1"/>
  <c r="Q114" i="8" s="1"/>
  <c r="Q115" i="8" s="1"/>
  <c r="Q116" i="8" s="1"/>
  <c r="BN163" i="8"/>
  <c r="BN164" i="8" s="1"/>
  <c r="BN165" i="8" s="1"/>
  <c r="S119" i="8"/>
  <c r="S120" i="8" s="1"/>
  <c r="S121" i="8" s="1"/>
  <c r="S122" i="8" s="1"/>
  <c r="S123" i="8" s="1"/>
  <c r="S124" i="8" s="1"/>
  <c r="BM157" i="8"/>
  <c r="BM158" i="8" s="1"/>
  <c r="BM159" i="8" s="1"/>
  <c r="BM160" i="8" s="1"/>
  <c r="BM161" i="8" s="1"/>
  <c r="BM162" i="8" s="1"/>
  <c r="M74" i="8"/>
  <c r="AL113" i="8"/>
  <c r="L60" i="8"/>
  <c r="AJ99" i="8" s="1"/>
  <c r="AK99" i="8"/>
  <c r="BL155" i="8"/>
  <c r="BL156" i="8" s="1"/>
  <c r="Q86" i="8"/>
  <c r="AP125" i="8"/>
  <c r="P81" i="8"/>
  <c r="AO120" i="8"/>
  <c r="N77" i="8"/>
  <c r="AM116" i="8"/>
  <c r="N56" i="8"/>
  <c r="AM95" i="8"/>
  <c r="P82" i="8"/>
  <c r="AO121" i="8"/>
  <c r="O79" i="8"/>
  <c r="AN118" i="8"/>
  <c r="O78" i="8"/>
  <c r="AN117" i="8"/>
  <c r="BK133" i="8"/>
  <c r="BK134" i="8" s="1"/>
  <c r="BK135" i="8" s="1"/>
  <c r="BK136" i="8" s="1"/>
  <c r="BK137" i="8" s="1"/>
  <c r="BK138" i="8" s="1"/>
  <c r="BK139" i="8" s="1"/>
  <c r="BK140" i="8" s="1"/>
  <c r="BK141" i="8" s="1"/>
  <c r="BK142" i="8" s="1"/>
  <c r="BK143" i="8" s="1"/>
  <c r="BK144" i="8" s="1"/>
  <c r="BK145" i="8" s="1"/>
  <c r="BK146" i="8" s="1"/>
  <c r="BK147" i="8" s="1"/>
  <c r="BK148" i="8" s="1"/>
  <c r="BK149" i="8" s="1"/>
  <c r="BK150" i="8" s="1"/>
  <c r="BK151" i="8" s="1"/>
  <c r="BK152" i="8" s="1"/>
  <c r="BK153" i="8" s="1"/>
  <c r="BK154" i="8" s="1"/>
  <c r="P94" i="8"/>
  <c r="N59" i="8"/>
  <c r="AM98" i="8"/>
  <c r="N55" i="8"/>
  <c r="AM94" i="8"/>
  <c r="BJ132" i="8" s="1"/>
  <c r="N58" i="8"/>
  <c r="AM97" i="8"/>
  <c r="N75" i="8"/>
  <c r="AM114" i="8"/>
  <c r="Q88" i="8"/>
  <c r="AP127" i="8"/>
  <c r="P87" i="8"/>
  <c r="AO126" i="8"/>
  <c r="N57" i="8"/>
  <c r="AM96" i="8"/>
  <c r="P80" i="8"/>
  <c r="AO119" i="8"/>
  <c r="P85" i="8"/>
  <c r="AO124" i="8"/>
  <c r="L73" i="8"/>
  <c r="AJ112" i="8" s="1"/>
  <c r="AK112" i="8"/>
  <c r="P84" i="8"/>
  <c r="AO123" i="8"/>
  <c r="P83" i="8"/>
  <c r="AO122" i="8"/>
  <c r="N76" i="8"/>
  <c r="AM115" i="8"/>
  <c r="BO151" i="8"/>
  <c r="BO152" i="8" s="1"/>
  <c r="BO153" i="8" s="1"/>
  <c r="BO154" i="8" s="1"/>
  <c r="BO155" i="8" s="1"/>
  <c r="BO156" i="8" s="1"/>
  <c r="BO157" i="8" s="1"/>
  <c r="BO158" i="8" s="1"/>
  <c r="BO159" i="8" s="1"/>
  <c r="BO160" i="8" s="1"/>
  <c r="BO161" i="8" s="1"/>
  <c r="BO162" i="8" s="1"/>
  <c r="BO163" i="8" s="1"/>
  <c r="BO164" i="8" s="1"/>
  <c r="BO165" i="8" s="1"/>
  <c r="BP150" i="8"/>
  <c r="U112" i="8" s="1"/>
  <c r="BN120" i="8"/>
  <c r="AO54" i="8"/>
  <c r="BL16" i="8" s="1"/>
  <c r="O14" i="8"/>
  <c r="P14" i="8" s="1"/>
  <c r="Q14" i="8" s="1"/>
  <c r="R14" i="8" s="1"/>
  <c r="S14" i="8" s="1"/>
  <c r="T14" i="8" s="1"/>
  <c r="U14" i="8" s="1"/>
  <c r="V14" i="8" s="1"/>
  <c r="W14" i="8" s="1"/>
  <c r="X14" i="8" s="1"/>
  <c r="Y14" i="8" s="1"/>
  <c r="Z14" i="8" s="1"/>
  <c r="S125" i="8" l="1"/>
  <c r="S126" i="8" s="1"/>
  <c r="S127" i="8" s="1"/>
  <c r="T113" i="8"/>
  <c r="T114" i="8" s="1"/>
  <c r="T115" i="8" s="1"/>
  <c r="T116" i="8" s="1"/>
  <c r="T117" i="8" s="1"/>
  <c r="T118" i="8" s="1"/>
  <c r="T119" i="8" s="1"/>
  <c r="T120" i="8" s="1"/>
  <c r="T121" i="8" s="1"/>
  <c r="T122" i="8" s="1"/>
  <c r="T123" i="8" s="1"/>
  <c r="T124" i="8" s="1"/>
  <c r="T125" i="8" s="1"/>
  <c r="T126" i="8" s="1"/>
  <c r="T127" i="8" s="1"/>
  <c r="Q117" i="8"/>
  <c r="Q118" i="8" s="1"/>
  <c r="BK155" i="8"/>
  <c r="BK156" i="8" s="1"/>
  <c r="R119" i="8"/>
  <c r="R120" i="8" s="1"/>
  <c r="R121" i="8" s="1"/>
  <c r="R122" i="8" s="1"/>
  <c r="R123" i="8" s="1"/>
  <c r="R124" i="8" s="1"/>
  <c r="O81" i="8"/>
  <c r="AN120" i="8"/>
  <c r="M57" i="8"/>
  <c r="AL96" i="8"/>
  <c r="M58" i="8"/>
  <c r="AL97" i="8"/>
  <c r="N78" i="8"/>
  <c r="AM117" i="8"/>
  <c r="P86" i="8"/>
  <c r="AO125" i="8"/>
  <c r="BJ133" i="8"/>
  <c r="BJ134" i="8" s="1"/>
  <c r="BJ135" i="8" s="1"/>
  <c r="BJ136" i="8" s="1"/>
  <c r="BJ137" i="8" s="1"/>
  <c r="BJ138" i="8" s="1"/>
  <c r="BJ139" i="8" s="1"/>
  <c r="BJ140" i="8" s="1"/>
  <c r="BJ141" i="8" s="1"/>
  <c r="BJ142" i="8" s="1"/>
  <c r="BJ143" i="8" s="1"/>
  <c r="BJ144" i="8" s="1"/>
  <c r="BJ145" i="8" s="1"/>
  <c r="BJ146" i="8" s="1"/>
  <c r="BJ147" i="8" s="1"/>
  <c r="BJ148" i="8" s="1"/>
  <c r="BJ149" i="8" s="1"/>
  <c r="BJ150" i="8" s="1"/>
  <c r="BJ151" i="8" s="1"/>
  <c r="BJ152" i="8" s="1"/>
  <c r="BJ153" i="8" s="1"/>
  <c r="BJ154" i="8" s="1"/>
  <c r="O94" i="8"/>
  <c r="BL157" i="8"/>
  <c r="BL158" i="8" s="1"/>
  <c r="BL159" i="8" s="1"/>
  <c r="BL160" i="8" s="1"/>
  <c r="BL161" i="8" s="1"/>
  <c r="BL162" i="8" s="1"/>
  <c r="O87" i="8"/>
  <c r="AN126" i="8"/>
  <c r="M55" i="8"/>
  <c r="AL94" i="8"/>
  <c r="BI132" i="8" s="1"/>
  <c r="M56" i="8"/>
  <c r="AL95" i="8"/>
  <c r="N79" i="8"/>
  <c r="AM118" i="8"/>
  <c r="M75" i="8"/>
  <c r="AL114" i="8"/>
  <c r="O82" i="8"/>
  <c r="AN121" i="8"/>
  <c r="BP151" i="8"/>
  <c r="M76" i="8"/>
  <c r="AL115" i="8"/>
  <c r="O85" i="8"/>
  <c r="AN124" i="8"/>
  <c r="P88" i="8"/>
  <c r="AO127" i="8"/>
  <c r="M59" i="8"/>
  <c r="AL98" i="8"/>
  <c r="BM163" i="8"/>
  <c r="BM164" i="8" s="1"/>
  <c r="BM165" i="8" s="1"/>
  <c r="M77" i="8"/>
  <c r="AL116" i="8"/>
  <c r="O84" i="8"/>
  <c r="AN123" i="8"/>
  <c r="O83" i="8"/>
  <c r="AN122" i="8"/>
  <c r="O80" i="8"/>
  <c r="AN119" i="8"/>
  <c r="P95" i="8"/>
  <c r="P96" i="8" s="1"/>
  <c r="P97" i="8" s="1"/>
  <c r="P98" i="8" s="1"/>
  <c r="P99" i="8" s="1"/>
  <c r="P100" i="8" s="1"/>
  <c r="P101" i="8" s="1"/>
  <c r="P102" i="8" s="1"/>
  <c r="P103" i="8" s="1"/>
  <c r="P104" i="8" s="1"/>
  <c r="P105" i="8" s="1"/>
  <c r="P106" i="8" s="1"/>
  <c r="P107" i="8" s="1"/>
  <c r="P108" i="8" s="1"/>
  <c r="P109" i="8" s="1"/>
  <c r="P110" i="8" s="1"/>
  <c r="P111" i="8" s="1"/>
  <c r="P112" i="8" s="1"/>
  <c r="P113" i="8" s="1"/>
  <c r="P114" i="8" s="1"/>
  <c r="P115" i="8" s="1"/>
  <c r="P116" i="8" s="1"/>
  <c r="L74" i="8"/>
  <c r="AK113" i="8"/>
  <c r="BN121" i="8"/>
  <c r="AP54" i="8"/>
  <c r="BM16" i="8" s="1"/>
  <c r="P117" i="8" l="1"/>
  <c r="P118" i="8" s="1"/>
  <c r="BK157" i="8"/>
  <c r="BK158" i="8" s="1"/>
  <c r="BK159" i="8" s="1"/>
  <c r="BK160" i="8" s="1"/>
  <c r="BK161" i="8" s="1"/>
  <c r="BK162" i="8" s="1"/>
  <c r="O95" i="8"/>
  <c r="O96" i="8" s="1"/>
  <c r="O97" i="8" s="1"/>
  <c r="O98" i="8" s="1"/>
  <c r="O99" i="8" s="1"/>
  <c r="O100" i="8" s="1"/>
  <c r="O101" i="8" s="1"/>
  <c r="O102" i="8" s="1"/>
  <c r="O103" i="8" s="1"/>
  <c r="O104" i="8" s="1"/>
  <c r="O105" i="8" s="1"/>
  <c r="O106" i="8" s="1"/>
  <c r="O107" i="8" s="1"/>
  <c r="O108" i="8" s="1"/>
  <c r="O109" i="8" s="1"/>
  <c r="O110" i="8" s="1"/>
  <c r="O111" i="8" s="1"/>
  <c r="O112" i="8" s="1"/>
  <c r="O113" i="8" s="1"/>
  <c r="O114" i="8" s="1"/>
  <c r="O115" i="8" s="1"/>
  <c r="O116" i="8" s="1"/>
  <c r="BL163" i="8"/>
  <c r="BL164" i="8" s="1"/>
  <c r="BL165" i="8" s="1"/>
  <c r="R125" i="8"/>
  <c r="R126" i="8" s="1"/>
  <c r="R127" i="8" s="1"/>
  <c r="N85" i="8"/>
  <c r="AM124" i="8"/>
  <c r="L77" i="8"/>
  <c r="AK116" i="8"/>
  <c r="M78" i="8"/>
  <c r="AL117" i="8"/>
  <c r="N80" i="8"/>
  <c r="AM119" i="8"/>
  <c r="L76" i="8"/>
  <c r="AK115" i="8"/>
  <c r="M79" i="8"/>
  <c r="AL118" i="8"/>
  <c r="Q119" i="8"/>
  <c r="Q120" i="8" s="1"/>
  <c r="Q121" i="8" s="1"/>
  <c r="Q122" i="8" s="1"/>
  <c r="Q123" i="8" s="1"/>
  <c r="Q124" i="8" s="1"/>
  <c r="L75" i="8"/>
  <c r="AK114" i="8"/>
  <c r="U113" i="8"/>
  <c r="L58" i="8"/>
  <c r="AK97" i="8"/>
  <c r="K74" i="8"/>
  <c r="AI113" i="8" s="1"/>
  <c r="AJ113" i="8"/>
  <c r="BJ155" i="8"/>
  <c r="BJ156" i="8" s="1"/>
  <c r="N87" i="8"/>
  <c r="AM126" i="8"/>
  <c r="N83" i="8"/>
  <c r="AM122" i="8"/>
  <c r="L59" i="8"/>
  <c r="AK98" i="8"/>
  <c r="BP152" i="8"/>
  <c r="BP153" i="8" s="1"/>
  <c r="BP154" i="8" s="1"/>
  <c r="BP155" i="8" s="1"/>
  <c r="BP156" i="8" s="1"/>
  <c r="BP157" i="8" s="1"/>
  <c r="BP158" i="8" s="1"/>
  <c r="BP159" i="8" s="1"/>
  <c r="BP160" i="8" s="1"/>
  <c r="BP161" i="8" s="1"/>
  <c r="BP162" i="8" s="1"/>
  <c r="BP163" i="8" s="1"/>
  <c r="BP164" i="8" s="1"/>
  <c r="BP165" i="8" s="1"/>
  <c r="BQ151" i="8"/>
  <c r="V113" i="8" s="1"/>
  <c r="L56" i="8"/>
  <c r="AK95" i="8"/>
  <c r="N94" i="8"/>
  <c r="BI133" i="8"/>
  <c r="BI134" i="8" s="1"/>
  <c r="BI135" i="8" s="1"/>
  <c r="BI136" i="8" s="1"/>
  <c r="BI137" i="8" s="1"/>
  <c r="BI138" i="8" s="1"/>
  <c r="BI139" i="8" s="1"/>
  <c r="BI140" i="8" s="1"/>
  <c r="BI141" i="8" s="1"/>
  <c r="BI142" i="8" s="1"/>
  <c r="BI143" i="8" s="1"/>
  <c r="BI144" i="8" s="1"/>
  <c r="BI145" i="8" s="1"/>
  <c r="BI146" i="8" s="1"/>
  <c r="BI147" i="8" s="1"/>
  <c r="BI148" i="8" s="1"/>
  <c r="BI149" i="8" s="1"/>
  <c r="BI150" i="8" s="1"/>
  <c r="BI151" i="8" s="1"/>
  <c r="BI152" i="8" s="1"/>
  <c r="BI153" i="8" s="1"/>
  <c r="BI154" i="8" s="1"/>
  <c r="L57" i="8"/>
  <c r="AK96" i="8"/>
  <c r="N84" i="8"/>
  <c r="AM123" i="8"/>
  <c r="O88" i="8"/>
  <c r="AN127" i="8"/>
  <c r="N82" i="8"/>
  <c r="AM121" i="8"/>
  <c r="L55" i="8"/>
  <c r="AK94" i="8"/>
  <c r="BH132" i="8" s="1"/>
  <c r="O86" i="8"/>
  <c r="AN125" i="8"/>
  <c r="N81" i="8"/>
  <c r="AM120" i="8"/>
  <c r="BN122" i="8"/>
  <c r="AQ54" i="8"/>
  <c r="BN16" i="8" s="1"/>
  <c r="BI155" i="8" l="1"/>
  <c r="BI156" i="8" s="1"/>
  <c r="P119" i="8"/>
  <c r="P120" i="8" s="1"/>
  <c r="P121" i="8" s="1"/>
  <c r="P122" i="8" s="1"/>
  <c r="P123" i="8" s="1"/>
  <c r="P124" i="8" s="1"/>
  <c r="BK163" i="8"/>
  <c r="BK164" i="8" s="1"/>
  <c r="BK165" i="8" s="1"/>
  <c r="Q125" i="8"/>
  <c r="Q126" i="8" s="1"/>
  <c r="Q127" i="8" s="1"/>
  <c r="U114" i="8"/>
  <c r="U115" i="8" s="1"/>
  <c r="U116" i="8" s="1"/>
  <c r="U117" i="8" s="1"/>
  <c r="U118" i="8" s="1"/>
  <c r="U119" i="8" s="1"/>
  <c r="U120" i="8" s="1"/>
  <c r="U121" i="8" s="1"/>
  <c r="U122" i="8" s="1"/>
  <c r="U123" i="8" s="1"/>
  <c r="U124" i="8" s="1"/>
  <c r="U125" i="8" s="1"/>
  <c r="U126" i="8" s="1"/>
  <c r="U127" i="8" s="1"/>
  <c r="BQ152" i="8"/>
  <c r="M80" i="8"/>
  <c r="AL119" i="8"/>
  <c r="N86" i="8"/>
  <c r="AM125" i="8"/>
  <c r="M84" i="8"/>
  <c r="AL123" i="8"/>
  <c r="BJ157" i="8"/>
  <c r="BJ158" i="8" s="1"/>
  <c r="BJ159" i="8" s="1"/>
  <c r="BJ160" i="8" s="1"/>
  <c r="BJ161" i="8" s="1"/>
  <c r="BJ162" i="8" s="1"/>
  <c r="K75" i="8"/>
  <c r="AJ114" i="8"/>
  <c r="K59" i="8"/>
  <c r="AI98" i="8" s="1"/>
  <c r="AJ98" i="8"/>
  <c r="L79" i="8"/>
  <c r="AK118" i="8"/>
  <c r="K77" i="8"/>
  <c r="AJ116" i="8"/>
  <c r="M94" i="8"/>
  <c r="BH133" i="8"/>
  <c r="BH134" i="8" s="1"/>
  <c r="BH135" i="8" s="1"/>
  <c r="BH136" i="8" s="1"/>
  <c r="BH137" i="8" s="1"/>
  <c r="BH138" i="8" s="1"/>
  <c r="BH139" i="8" s="1"/>
  <c r="BH140" i="8" s="1"/>
  <c r="BH141" i="8" s="1"/>
  <c r="BH142" i="8" s="1"/>
  <c r="BH143" i="8" s="1"/>
  <c r="BH144" i="8" s="1"/>
  <c r="BH145" i="8" s="1"/>
  <c r="BH146" i="8" s="1"/>
  <c r="BH147" i="8" s="1"/>
  <c r="BH148" i="8" s="1"/>
  <c r="BH149" i="8" s="1"/>
  <c r="L78" i="8"/>
  <c r="AK117" i="8"/>
  <c r="K57" i="8"/>
  <c r="AJ96" i="8"/>
  <c r="M82" i="8"/>
  <c r="AL121" i="8"/>
  <c r="N95" i="8"/>
  <c r="N96" i="8" s="1"/>
  <c r="N97" i="8" s="1"/>
  <c r="N98" i="8" s="1"/>
  <c r="N99" i="8" s="1"/>
  <c r="N100" i="8" s="1"/>
  <c r="N101" i="8" s="1"/>
  <c r="N102" i="8" s="1"/>
  <c r="N103" i="8" s="1"/>
  <c r="N104" i="8" s="1"/>
  <c r="N105" i="8" s="1"/>
  <c r="N106" i="8" s="1"/>
  <c r="N107" i="8" s="1"/>
  <c r="N108" i="8" s="1"/>
  <c r="N109" i="8" s="1"/>
  <c r="N110" i="8" s="1"/>
  <c r="N111" i="8" s="1"/>
  <c r="N112" i="8" s="1"/>
  <c r="N113" i="8" s="1"/>
  <c r="N114" i="8" s="1"/>
  <c r="N115" i="8" s="1"/>
  <c r="N116" i="8" s="1"/>
  <c r="M83" i="8"/>
  <c r="AL122" i="8"/>
  <c r="K58" i="8"/>
  <c r="AJ97" i="8"/>
  <c r="K55" i="8"/>
  <c r="AJ94" i="8"/>
  <c r="BG132" i="8" s="1"/>
  <c r="O117" i="8"/>
  <c r="O118" i="8" s="1"/>
  <c r="K76" i="8"/>
  <c r="AJ115" i="8"/>
  <c r="M85" i="8"/>
  <c r="AL124" i="8"/>
  <c r="M81" i="8"/>
  <c r="AL120" i="8"/>
  <c r="N88" i="8"/>
  <c r="AM127" i="8"/>
  <c r="K56" i="8"/>
  <c r="AJ95" i="8"/>
  <c r="M87" i="8"/>
  <c r="AL126" i="8"/>
  <c r="BN123" i="8"/>
  <c r="AR54" i="8"/>
  <c r="BO16" i="8" s="1"/>
  <c r="O119" i="8" l="1"/>
  <c r="O120" i="8" s="1"/>
  <c r="O121" i="8" s="1"/>
  <c r="O122" i="8" s="1"/>
  <c r="O123" i="8" s="1"/>
  <c r="O124" i="8" s="1"/>
  <c r="N117" i="8"/>
  <c r="N118" i="8" s="1"/>
  <c r="BI157" i="8"/>
  <c r="BI158" i="8" s="1"/>
  <c r="BI159" i="8" s="1"/>
  <c r="BI160" i="8" s="1"/>
  <c r="BI161" i="8" s="1"/>
  <c r="BI162" i="8" s="1"/>
  <c r="P125" i="8"/>
  <c r="P126" i="8" s="1"/>
  <c r="P127" i="8" s="1"/>
  <c r="L81" i="8"/>
  <c r="AK120" i="8"/>
  <c r="J57" i="8"/>
  <c r="AH96" i="8" s="1"/>
  <c r="AI96" i="8"/>
  <c r="L84" i="8"/>
  <c r="AK123" i="8"/>
  <c r="J58" i="8"/>
  <c r="AH97" i="8" s="1"/>
  <c r="AI97" i="8"/>
  <c r="L87" i="8"/>
  <c r="AK126" i="8"/>
  <c r="L85" i="8"/>
  <c r="AK124" i="8"/>
  <c r="K78" i="8"/>
  <c r="AJ117" i="8"/>
  <c r="M86" i="8"/>
  <c r="AL125" i="8"/>
  <c r="J75" i="8"/>
  <c r="AH114" i="8" s="1"/>
  <c r="AI114" i="8"/>
  <c r="BQ153" i="8"/>
  <c r="BQ154" i="8" s="1"/>
  <c r="BQ155" i="8" s="1"/>
  <c r="BQ156" i="8" s="1"/>
  <c r="BQ157" i="8" s="1"/>
  <c r="BQ158" i="8" s="1"/>
  <c r="BQ159" i="8" s="1"/>
  <c r="BQ160" i="8" s="1"/>
  <c r="BQ161" i="8" s="1"/>
  <c r="BQ162" i="8" s="1"/>
  <c r="BQ163" i="8" s="1"/>
  <c r="BQ164" i="8" s="1"/>
  <c r="BQ165" i="8" s="1"/>
  <c r="BR152" i="8"/>
  <c r="W114" i="8" s="1"/>
  <c r="BH150" i="8"/>
  <c r="BH151" i="8" s="1"/>
  <c r="BH152" i="8" s="1"/>
  <c r="BH153" i="8" s="1"/>
  <c r="BH154" i="8" s="1"/>
  <c r="BH155" i="8" s="1"/>
  <c r="BH156" i="8" s="1"/>
  <c r="BG149" i="8"/>
  <c r="J56" i="8"/>
  <c r="AH95" i="8" s="1"/>
  <c r="AI95" i="8"/>
  <c r="J76" i="8"/>
  <c r="AH115" i="8" s="1"/>
  <c r="AI115" i="8"/>
  <c r="M95" i="8"/>
  <c r="M96" i="8" s="1"/>
  <c r="M97" i="8" s="1"/>
  <c r="M98" i="8" s="1"/>
  <c r="M99" i="8" s="1"/>
  <c r="M100" i="8" s="1"/>
  <c r="M101" i="8" s="1"/>
  <c r="M102" i="8" s="1"/>
  <c r="M103" i="8" s="1"/>
  <c r="M104" i="8" s="1"/>
  <c r="M105" i="8" s="1"/>
  <c r="M106" i="8" s="1"/>
  <c r="M107" i="8" s="1"/>
  <c r="M108" i="8" s="1"/>
  <c r="M109" i="8" s="1"/>
  <c r="M110" i="8" s="1"/>
  <c r="L80" i="8"/>
  <c r="AK119" i="8"/>
  <c r="BG133" i="8"/>
  <c r="BG134" i="8" s="1"/>
  <c r="BG135" i="8" s="1"/>
  <c r="BG136" i="8" s="1"/>
  <c r="BG137" i="8" s="1"/>
  <c r="BG138" i="8" s="1"/>
  <c r="L94" i="8"/>
  <c r="L82" i="8"/>
  <c r="AK121" i="8"/>
  <c r="J77" i="8"/>
  <c r="AH116" i="8" s="1"/>
  <c r="AI116" i="8"/>
  <c r="BJ163" i="8"/>
  <c r="BJ164" i="8" s="1"/>
  <c r="BJ165" i="8" s="1"/>
  <c r="V114" i="8"/>
  <c r="L83" i="8"/>
  <c r="AK122" i="8"/>
  <c r="M88" i="8"/>
  <c r="AL127" i="8"/>
  <c r="J55" i="8"/>
  <c r="AH94" i="8" s="1"/>
  <c r="BE132" i="8" s="1"/>
  <c r="AI94" i="8"/>
  <c r="BF132" i="8" s="1"/>
  <c r="K79" i="8"/>
  <c r="AJ118" i="8"/>
  <c r="BN124" i="8"/>
  <c r="AS54" i="8"/>
  <c r="BP16" i="8" s="1"/>
  <c r="M111" i="8" l="1"/>
  <c r="M112" i="8" s="1"/>
  <c r="M113" i="8" s="1"/>
  <c r="M114" i="8" s="1"/>
  <c r="M115" i="8" s="1"/>
  <c r="M116" i="8" s="1"/>
  <c r="M117" i="8" s="1"/>
  <c r="M118" i="8" s="1"/>
  <c r="L111" i="8"/>
  <c r="N119" i="8"/>
  <c r="N120" i="8" s="1"/>
  <c r="N121" i="8" s="1"/>
  <c r="N122" i="8" s="1"/>
  <c r="N123" i="8" s="1"/>
  <c r="N124" i="8" s="1"/>
  <c r="V115" i="8"/>
  <c r="V116" i="8" s="1"/>
  <c r="V117" i="8" s="1"/>
  <c r="V118" i="8" s="1"/>
  <c r="V119" i="8" s="1"/>
  <c r="V120" i="8" s="1"/>
  <c r="V121" i="8" s="1"/>
  <c r="V122" i="8" s="1"/>
  <c r="V123" i="8" s="1"/>
  <c r="V124" i="8" s="1"/>
  <c r="V125" i="8" s="1"/>
  <c r="V126" i="8" s="1"/>
  <c r="V127" i="8" s="1"/>
  <c r="BH157" i="8"/>
  <c r="BH158" i="8" s="1"/>
  <c r="BH159" i="8" s="1"/>
  <c r="BH160" i="8" s="1"/>
  <c r="BH161" i="8" s="1"/>
  <c r="BH162" i="8" s="1"/>
  <c r="BI163" i="8"/>
  <c r="BI164" i="8" s="1"/>
  <c r="BI165" i="8" s="1"/>
  <c r="L95" i="8"/>
  <c r="L96" i="8" s="1"/>
  <c r="L97" i="8" s="1"/>
  <c r="L98" i="8" s="1"/>
  <c r="L99" i="8" s="1"/>
  <c r="L100" i="8" s="1"/>
  <c r="J79" i="8"/>
  <c r="AI118" i="8"/>
  <c r="K80" i="8"/>
  <c r="AJ119" i="8"/>
  <c r="BR153" i="8"/>
  <c r="BR154" i="8" s="1"/>
  <c r="BR155" i="8" s="1"/>
  <c r="BF133" i="8"/>
  <c r="BF134" i="8" s="1"/>
  <c r="BF135" i="8" s="1"/>
  <c r="BF136" i="8" s="1"/>
  <c r="BF137" i="8" s="1"/>
  <c r="K94" i="8"/>
  <c r="J78" i="8"/>
  <c r="AI117" i="8"/>
  <c r="K84" i="8"/>
  <c r="AJ123" i="8"/>
  <c r="BE133" i="8"/>
  <c r="BE134" i="8" s="1"/>
  <c r="BE135" i="8" s="1"/>
  <c r="BE136" i="8" s="1"/>
  <c r="J94" i="8"/>
  <c r="L86" i="8"/>
  <c r="AK125" i="8"/>
  <c r="K85" i="8"/>
  <c r="AJ124" i="8"/>
  <c r="L88" i="8"/>
  <c r="AK127" i="8"/>
  <c r="K82" i="8"/>
  <c r="AJ121" i="8"/>
  <c r="O125" i="8"/>
  <c r="O126" i="8" s="1"/>
  <c r="O127" i="8" s="1"/>
  <c r="K87" i="8"/>
  <c r="AJ126" i="8"/>
  <c r="K81" i="8"/>
  <c r="AJ120" i="8"/>
  <c r="K83" i="8"/>
  <c r="AJ122" i="8"/>
  <c r="BG150" i="8"/>
  <c r="BN125" i="8"/>
  <c r="AT54" i="8"/>
  <c r="BQ16" i="8" s="1"/>
  <c r="BH163" i="8" l="1"/>
  <c r="BH164" i="8" s="1"/>
  <c r="BH165" i="8" s="1"/>
  <c r="N125" i="8"/>
  <c r="N126" i="8" s="1"/>
  <c r="N127" i="8" s="1"/>
  <c r="M119" i="8"/>
  <c r="M120" i="8" s="1"/>
  <c r="M121" i="8" s="1"/>
  <c r="M122" i="8" s="1"/>
  <c r="M123" i="8" s="1"/>
  <c r="M124" i="8" s="1"/>
  <c r="W115" i="8"/>
  <c r="W116" i="8" s="1"/>
  <c r="J95" i="8"/>
  <c r="J96" i="8" s="1"/>
  <c r="J97" i="8" s="1"/>
  <c r="J98" i="8" s="1"/>
  <c r="J81" i="8"/>
  <c r="AI120" i="8"/>
  <c r="K88" i="8"/>
  <c r="AJ127" i="8"/>
  <c r="BR156" i="8"/>
  <c r="BR157" i="8" s="1"/>
  <c r="BR158" i="8" s="1"/>
  <c r="BR159" i="8" s="1"/>
  <c r="BR160" i="8" s="1"/>
  <c r="BR161" i="8" s="1"/>
  <c r="BR162" i="8" s="1"/>
  <c r="BR163" i="8" s="1"/>
  <c r="BR164" i="8" s="1"/>
  <c r="BR165" i="8" s="1"/>
  <c r="BS155" i="8"/>
  <c r="J84" i="8"/>
  <c r="AI123" i="8"/>
  <c r="K86" i="8"/>
  <c r="AJ125" i="8"/>
  <c r="J82" i="8"/>
  <c r="AI121" i="8"/>
  <c r="J87" i="8"/>
  <c r="AI126" i="8"/>
  <c r="J80" i="8"/>
  <c r="AI119" i="8"/>
  <c r="J83" i="8"/>
  <c r="AI122" i="8"/>
  <c r="J85" i="8"/>
  <c r="AI124" i="8"/>
  <c r="I78" i="8"/>
  <c r="AG117" i="8" s="1"/>
  <c r="AH117" i="8"/>
  <c r="BG151" i="8"/>
  <c r="BG152" i="8" s="1"/>
  <c r="BG153" i="8" s="1"/>
  <c r="BG154" i="8" s="1"/>
  <c r="BG155" i="8" s="1"/>
  <c r="BG156" i="8" s="1"/>
  <c r="BG157" i="8" s="1"/>
  <c r="BG158" i="8" s="1"/>
  <c r="BG159" i="8" s="1"/>
  <c r="BG160" i="8" s="1"/>
  <c r="BG161" i="8" s="1"/>
  <c r="BG162" i="8" s="1"/>
  <c r="BF150" i="8"/>
  <c r="K112" i="8" s="1"/>
  <c r="L112" i="8"/>
  <c r="K95" i="8"/>
  <c r="K96" i="8" s="1"/>
  <c r="K97" i="8" s="1"/>
  <c r="K98" i="8" s="1"/>
  <c r="K99" i="8" s="1"/>
  <c r="I79" i="8"/>
  <c r="AG118" i="8" s="1"/>
  <c r="AH118" i="8"/>
  <c r="BN126" i="8"/>
  <c r="V54" i="8"/>
  <c r="AU54" i="8"/>
  <c r="BR16" i="8" s="1"/>
  <c r="W117" i="8" l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X117" i="8"/>
  <c r="M125" i="8"/>
  <c r="M126" i="8" s="1"/>
  <c r="M127" i="8" s="1"/>
  <c r="BG163" i="8"/>
  <c r="BG164" i="8" s="1"/>
  <c r="BG165" i="8" s="1"/>
  <c r="I85" i="8"/>
  <c r="AH124" i="8"/>
  <c r="I82" i="8"/>
  <c r="AH121" i="8"/>
  <c r="J88" i="8"/>
  <c r="AI127" i="8"/>
  <c r="I87" i="8"/>
  <c r="AH126" i="8"/>
  <c r="L113" i="8"/>
  <c r="L114" i="8" s="1"/>
  <c r="L115" i="8" s="1"/>
  <c r="L116" i="8" s="1"/>
  <c r="L117" i="8" s="1"/>
  <c r="L118" i="8" s="1"/>
  <c r="L119" i="8" s="1"/>
  <c r="L120" i="8" s="1"/>
  <c r="L121" i="8" s="1"/>
  <c r="L122" i="8" s="1"/>
  <c r="L123" i="8" s="1"/>
  <c r="L124" i="8" s="1"/>
  <c r="I83" i="8"/>
  <c r="AH122" i="8"/>
  <c r="J86" i="8"/>
  <c r="AI125" i="8"/>
  <c r="BS156" i="8"/>
  <c r="BS157" i="8" s="1"/>
  <c r="BF151" i="8"/>
  <c r="I81" i="8"/>
  <c r="AH120" i="8"/>
  <c r="I80" i="8"/>
  <c r="AH119" i="8"/>
  <c r="I84" i="8"/>
  <c r="AH123" i="8"/>
  <c r="BN127" i="8"/>
  <c r="U54" i="8"/>
  <c r="AT93" i="8"/>
  <c r="L125" i="8" l="1"/>
  <c r="L126" i="8" s="1"/>
  <c r="L127" i="8" s="1"/>
  <c r="X118" i="8"/>
  <c r="K113" i="8"/>
  <c r="BF152" i="8"/>
  <c r="BF153" i="8" s="1"/>
  <c r="BF154" i="8" s="1"/>
  <c r="BF155" i="8" s="1"/>
  <c r="BF156" i="8" s="1"/>
  <c r="BF157" i="8" s="1"/>
  <c r="BF158" i="8" s="1"/>
  <c r="BF159" i="8" s="1"/>
  <c r="BF160" i="8" s="1"/>
  <c r="BF161" i="8" s="1"/>
  <c r="BF162" i="8" s="1"/>
  <c r="BF163" i="8" s="1"/>
  <c r="BF164" i="8" s="1"/>
  <c r="BF165" i="8" s="1"/>
  <c r="BE151" i="8"/>
  <c r="J113" i="8" s="1"/>
  <c r="H87" i="8"/>
  <c r="AG126" i="8"/>
  <c r="BS158" i="8"/>
  <c r="BS159" i="8" s="1"/>
  <c r="BS160" i="8" s="1"/>
  <c r="BS161" i="8" s="1"/>
  <c r="BS162" i="8" s="1"/>
  <c r="BS163" i="8" s="1"/>
  <c r="BS164" i="8" s="1"/>
  <c r="BS165" i="8" s="1"/>
  <c r="BT157" i="8"/>
  <c r="I88" i="8"/>
  <c r="AH127" i="8"/>
  <c r="H84" i="8"/>
  <c r="AG123" i="8"/>
  <c r="AG119" i="8"/>
  <c r="H80" i="8"/>
  <c r="AF119" i="8" s="1"/>
  <c r="I86" i="8"/>
  <c r="AH125" i="8"/>
  <c r="H85" i="8"/>
  <c r="AG124" i="8"/>
  <c r="H82" i="8"/>
  <c r="AG121" i="8"/>
  <c r="H81" i="8"/>
  <c r="AG120" i="8"/>
  <c r="H83" i="8"/>
  <c r="AG122" i="8"/>
  <c r="T54" i="8"/>
  <c r="AS93" i="8"/>
  <c r="X119" i="8" l="1"/>
  <c r="X120" i="8" s="1"/>
  <c r="X121" i="8" s="1"/>
  <c r="X122" i="8" s="1"/>
  <c r="X123" i="8" s="1"/>
  <c r="X124" i="8" s="1"/>
  <c r="X125" i="8" s="1"/>
  <c r="X126" i="8" s="1"/>
  <c r="X127" i="8" s="1"/>
  <c r="Y119" i="8"/>
  <c r="K114" i="8"/>
  <c r="K115" i="8" s="1"/>
  <c r="K116" i="8" s="1"/>
  <c r="K117" i="8" s="1"/>
  <c r="K118" i="8" s="1"/>
  <c r="K119" i="8" s="1"/>
  <c r="K120" i="8" s="1"/>
  <c r="K121" i="8" s="1"/>
  <c r="K122" i="8" s="1"/>
  <c r="K123" i="8" s="1"/>
  <c r="K124" i="8" s="1"/>
  <c r="K125" i="8" s="1"/>
  <c r="K126" i="8" s="1"/>
  <c r="K127" i="8" s="1"/>
  <c r="G83" i="8"/>
  <c r="AE122" i="8" s="1"/>
  <c r="AF122" i="8"/>
  <c r="BT158" i="8"/>
  <c r="H86" i="8"/>
  <c r="AG125" i="8"/>
  <c r="G81" i="8"/>
  <c r="AE120" i="8" s="1"/>
  <c r="AF120" i="8"/>
  <c r="H88" i="8"/>
  <c r="AG127" i="8"/>
  <c r="G82" i="8"/>
  <c r="AE121" i="8" s="1"/>
  <c r="AF121" i="8"/>
  <c r="G84" i="8"/>
  <c r="AE123" i="8" s="1"/>
  <c r="AF123" i="8"/>
  <c r="G87" i="8"/>
  <c r="AE126" i="8" s="1"/>
  <c r="AF126" i="8"/>
  <c r="BE152" i="8"/>
  <c r="G85" i="8"/>
  <c r="AE124" i="8" s="1"/>
  <c r="AF124" i="8"/>
  <c r="S54" i="8"/>
  <c r="AR93" i="8"/>
  <c r="J114" i="8" l="1"/>
  <c r="G86" i="8"/>
  <c r="AE125" i="8" s="1"/>
  <c r="AF125" i="8"/>
  <c r="Y120" i="8"/>
  <c r="BT159" i="8"/>
  <c r="BT160" i="8" s="1"/>
  <c r="BT161" i="8" s="1"/>
  <c r="BT162" i="8" s="1"/>
  <c r="BT163" i="8" s="1"/>
  <c r="BT164" i="8" s="1"/>
  <c r="BT165" i="8" s="1"/>
  <c r="BU158" i="8"/>
  <c r="Z120" i="8" s="1"/>
  <c r="BE153" i="8"/>
  <c r="BE154" i="8" s="1"/>
  <c r="BE155" i="8" s="1"/>
  <c r="BE156" i="8" s="1"/>
  <c r="BE157" i="8" s="1"/>
  <c r="BE158" i="8" s="1"/>
  <c r="BE159" i="8" s="1"/>
  <c r="BE160" i="8" s="1"/>
  <c r="BE161" i="8" s="1"/>
  <c r="BE162" i="8" s="1"/>
  <c r="BE163" i="8" s="1"/>
  <c r="BE164" i="8" s="1"/>
  <c r="BE165" i="8" s="1"/>
  <c r="BD152" i="8"/>
  <c r="I114" i="8" s="1"/>
  <c r="G88" i="8"/>
  <c r="AE127" i="8" s="1"/>
  <c r="AF127" i="8"/>
  <c r="R54" i="8"/>
  <c r="AQ93" i="8"/>
  <c r="J115" i="8" l="1"/>
  <c r="J116" i="8" s="1"/>
  <c r="J117" i="8" s="1"/>
  <c r="J118" i="8" s="1"/>
  <c r="J119" i="8" s="1"/>
  <c r="J120" i="8" s="1"/>
  <c r="J121" i="8" s="1"/>
  <c r="J122" i="8" s="1"/>
  <c r="J123" i="8" s="1"/>
  <c r="J124" i="8" s="1"/>
  <c r="J125" i="8" s="1"/>
  <c r="J126" i="8" s="1"/>
  <c r="J127" i="8" s="1"/>
  <c r="BU159" i="8"/>
  <c r="BU160" i="8" s="1"/>
  <c r="BU161" i="8" s="1"/>
  <c r="BU162" i="8" s="1"/>
  <c r="BU163" i="8" s="1"/>
  <c r="BU164" i="8" s="1"/>
  <c r="BU165" i="8" s="1"/>
  <c r="Y121" i="8"/>
  <c r="Y122" i="8" s="1"/>
  <c r="Y123" i="8" s="1"/>
  <c r="Y124" i="8" s="1"/>
  <c r="Y125" i="8" s="1"/>
  <c r="Y126" i="8" s="1"/>
  <c r="Y127" i="8" s="1"/>
  <c r="BD153" i="8"/>
  <c r="BD154" i="8" s="1"/>
  <c r="BD155" i="8" s="1"/>
  <c r="Q54" i="8"/>
  <c r="AP93" i="8"/>
  <c r="Z121" i="8" l="1"/>
  <c r="Z122" i="8" s="1"/>
  <c r="Z123" i="8" s="1"/>
  <c r="Z124" i="8" s="1"/>
  <c r="Z125" i="8" s="1"/>
  <c r="Z126" i="8" s="1"/>
  <c r="Z127" i="8" s="1"/>
  <c r="BD156" i="8"/>
  <c r="BD157" i="8" s="1"/>
  <c r="BD158" i="8" s="1"/>
  <c r="BD159" i="8" s="1"/>
  <c r="BD160" i="8" s="1"/>
  <c r="BD161" i="8" s="1"/>
  <c r="BD162" i="8" s="1"/>
  <c r="BD163" i="8" s="1"/>
  <c r="BD164" i="8" s="1"/>
  <c r="BD165" i="8" s="1"/>
  <c r="BC155" i="8"/>
  <c r="I115" i="8"/>
  <c r="I116" i="8" s="1"/>
  <c r="P54" i="8"/>
  <c r="AO93" i="8"/>
  <c r="I117" i="8" l="1"/>
  <c r="I118" i="8" s="1"/>
  <c r="I119" i="8" s="1"/>
  <c r="I120" i="8" s="1"/>
  <c r="I121" i="8" s="1"/>
  <c r="I122" i="8" s="1"/>
  <c r="I123" i="8" s="1"/>
  <c r="I124" i="8" s="1"/>
  <c r="I125" i="8" s="1"/>
  <c r="I126" i="8" s="1"/>
  <c r="I127" i="8" s="1"/>
  <c r="H117" i="8"/>
  <c r="BC156" i="8"/>
  <c r="BC157" i="8" s="1"/>
  <c r="O54" i="8"/>
  <c r="AN93" i="8"/>
  <c r="H118" i="8" l="1"/>
  <c r="BC158" i="8"/>
  <c r="BC159" i="8" s="1"/>
  <c r="BC160" i="8" s="1"/>
  <c r="BC161" i="8" s="1"/>
  <c r="BC162" i="8" s="1"/>
  <c r="BC163" i="8" s="1"/>
  <c r="BC164" i="8" s="1"/>
  <c r="BC165" i="8" s="1"/>
  <c r="BB157" i="8"/>
  <c r="N54" i="8"/>
  <c r="AM93" i="8"/>
  <c r="H119" i="8" l="1"/>
  <c r="H120" i="8" s="1"/>
  <c r="H121" i="8" s="1"/>
  <c r="H122" i="8" s="1"/>
  <c r="H123" i="8" s="1"/>
  <c r="H124" i="8" s="1"/>
  <c r="H125" i="8" s="1"/>
  <c r="H126" i="8" s="1"/>
  <c r="H127" i="8" s="1"/>
  <c r="G119" i="8"/>
  <c r="BB158" i="8"/>
  <c r="M54" i="8"/>
  <c r="AL93" i="8"/>
  <c r="G120" i="8" l="1"/>
  <c r="BB159" i="8"/>
  <c r="BB160" i="8" s="1"/>
  <c r="BB161" i="8" s="1"/>
  <c r="BB162" i="8" s="1"/>
  <c r="BB163" i="8" s="1"/>
  <c r="BB164" i="8" s="1"/>
  <c r="BB165" i="8" s="1"/>
  <c r="BA158" i="8"/>
  <c r="F120" i="8" s="1"/>
  <c r="L54" i="8"/>
  <c r="AK93" i="8"/>
  <c r="BA159" i="8" l="1"/>
  <c r="BA160" i="8" s="1"/>
  <c r="BA161" i="8" s="1"/>
  <c r="BA162" i="8" s="1"/>
  <c r="BA163" i="8" s="1"/>
  <c r="BA164" i="8" s="1"/>
  <c r="BA165" i="8" s="1"/>
  <c r="G121" i="8"/>
  <c r="G122" i="8" s="1"/>
  <c r="G123" i="8" s="1"/>
  <c r="G124" i="8" s="1"/>
  <c r="G125" i="8" s="1"/>
  <c r="G126" i="8" s="1"/>
  <c r="G127" i="8" s="1"/>
  <c r="K54" i="8"/>
  <c r="AJ93" i="8"/>
  <c r="F121" i="8" l="1"/>
  <c r="F122" i="8" s="1"/>
  <c r="F123" i="8" s="1"/>
  <c r="F124" i="8" s="1"/>
  <c r="F125" i="8" s="1"/>
  <c r="F126" i="8" s="1"/>
  <c r="F127" i="8" s="1"/>
  <c r="AI93" i="8"/>
  <c r="J54" i="8"/>
  <c r="AH93" i="8" s="1"/>
</calcChain>
</file>

<file path=xl/sharedStrings.xml><?xml version="1.0" encoding="utf-8"?>
<sst xmlns="http://schemas.openxmlformats.org/spreadsheetml/2006/main" count="34" uniqueCount="29">
  <si>
    <t>L</t>
  </si>
  <si>
    <t>dx</t>
  </si>
  <si>
    <t>dt</t>
  </si>
  <si>
    <t>t</t>
  </si>
  <si>
    <t>Cp</t>
  </si>
  <si>
    <t>ro</t>
  </si>
  <si>
    <t>Lamda</t>
  </si>
  <si>
    <t>T_end</t>
  </si>
  <si>
    <t>t_iter</t>
  </si>
  <si>
    <t>B</t>
  </si>
  <si>
    <t>C</t>
  </si>
  <si>
    <t>A</t>
  </si>
  <si>
    <t>q</t>
  </si>
  <si>
    <t>X</t>
  </si>
  <si>
    <t>betta x</t>
  </si>
  <si>
    <t>b</t>
  </si>
  <si>
    <t>dy</t>
  </si>
  <si>
    <t>l</t>
  </si>
  <si>
    <t>T_left</t>
  </si>
  <si>
    <t>T_right</t>
  </si>
  <si>
    <t>T_up</t>
  </si>
  <si>
    <t>Y</t>
  </si>
  <si>
    <t xml:space="preserve">      F(n+0,5)</t>
  </si>
  <si>
    <t>N +0,5</t>
  </si>
  <si>
    <t>alpha y</t>
  </si>
  <si>
    <t xml:space="preserve">      F(n+1)</t>
  </si>
  <si>
    <t>betta y</t>
  </si>
  <si>
    <t>alpha x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</si>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</sst>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164" fontId="0" fillId="0" borderId="0" xfId="0" applyNumberFormat="1"/>
    <xf numFmtId="0" fontId="0" fillId="0" borderId="2" xfId="0" applyBorder="1" applyAlignment="1">
      <alignment horizontal="center"/>
    </xf>
    <xf numFmtId="164" fontId="0" fillId="0" borderId="0" xfId="0" applyNumberFormat="1" applyBorder="1"/>
    <xf numFmtId="0" fontId="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2" fontId="0" fillId="0" borderId="0" xfId="0" applyNumberFormat="1"/>
    <xf numFmtId="0" fontId="3" fillId="0" borderId="0" xfId="0" applyFont="1" applyAlignment="1">
      <alignment horizontal="center" textRotation="90"/>
    </xf>
    <xf numFmtId="0" fontId="4" fillId="0" borderId="0" xfId="0" applyFont="1" applyAlignment="1">
      <alignment horizontal="center" textRotation="90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94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BU165"/>
  <sheetViews>
    <sheetView tabSelected="1" zoomScale="46" zoomScaleNormal="46" workbookViewId="0">
      <selection activeCell="H16" sqref="H16"/>
    </sheetView>
  </sheetViews>
  <sheetFormatPr defaultRowHeight="14.4" x14ac:dyDescent="0.3"/>
  <cols>
    <col min="5" max="5" width="8.88671875" customWidth="1"/>
    <col min="28" max="28" width="3.33203125" customWidth="1"/>
    <col min="29" max="29" width="10.77734375" customWidth="1"/>
    <col min="30" max="50" width="8.6640625" customWidth="1"/>
    <col min="57" max="57" width="13.109375" customWidth="1"/>
    <col min="58" max="61" width="9.77734375" customWidth="1"/>
    <col min="62" max="62" width="10.77734375" customWidth="1"/>
    <col min="63" max="73" width="9.77734375" customWidth="1"/>
  </cols>
  <sheetData>
    <row r="2" spans="1:73" x14ac:dyDescent="0.3">
      <c r="B2" s="1" t="s">
        <v>15</v>
      </c>
      <c r="C2" s="1">
        <v>0.02</v>
      </c>
      <c r="D2" t="s">
        <v>17</v>
      </c>
      <c r="E2">
        <v>6.8000000000000005E-2</v>
      </c>
    </row>
    <row r="3" spans="1:73" x14ac:dyDescent="0.3">
      <c r="B3" s="1" t="s">
        <v>1</v>
      </c>
      <c r="C3" s="1">
        <f>C2/20</f>
        <v>1E-3</v>
      </c>
      <c r="D3" t="s">
        <v>16</v>
      </c>
      <c r="E3">
        <f>E2/34</f>
        <v>2E-3</v>
      </c>
    </row>
    <row r="4" spans="1:73" x14ac:dyDescent="0.3">
      <c r="B4" s="1" t="s">
        <v>2</v>
      </c>
      <c r="C4" s="1">
        <v>1</v>
      </c>
    </row>
    <row r="5" spans="1:73" x14ac:dyDescent="0.3">
      <c r="B5" s="1" t="s">
        <v>3</v>
      </c>
      <c r="C5" s="1">
        <v>100</v>
      </c>
      <c r="D5">
        <v>101</v>
      </c>
    </row>
    <row r="6" spans="1:73" x14ac:dyDescent="0.3">
      <c r="B6" s="1"/>
      <c r="C6" s="1"/>
      <c r="D6" t="s">
        <v>20</v>
      </c>
      <c r="E6">
        <v>1223</v>
      </c>
    </row>
    <row r="7" spans="1:73" x14ac:dyDescent="0.3">
      <c r="B7" s="1" t="s">
        <v>4</v>
      </c>
      <c r="C7" s="1">
        <v>460</v>
      </c>
      <c r="D7" t="s">
        <v>18</v>
      </c>
      <c r="E7">
        <v>873</v>
      </c>
    </row>
    <row r="8" spans="1:73" x14ac:dyDescent="0.3">
      <c r="B8" s="1" t="s">
        <v>5</v>
      </c>
      <c r="C8" s="1">
        <v>7800</v>
      </c>
      <c r="D8" t="s">
        <v>19</v>
      </c>
      <c r="E8">
        <v>923</v>
      </c>
    </row>
    <row r="9" spans="1:73" x14ac:dyDescent="0.3">
      <c r="B9" s="1" t="s">
        <v>6</v>
      </c>
      <c r="C9" s="1">
        <v>46</v>
      </c>
    </row>
    <row r="10" spans="1:73" ht="14.4" customHeight="1" x14ac:dyDescent="0.3">
      <c r="B10" s="1"/>
      <c r="C10" s="1"/>
    </row>
    <row r="11" spans="1:73" x14ac:dyDescent="0.3">
      <c r="B11" s="1"/>
      <c r="C11" s="1"/>
    </row>
    <row r="12" spans="1:73" x14ac:dyDescent="0.3">
      <c r="B12" s="1" t="s">
        <v>12</v>
      </c>
      <c r="C12" s="1">
        <v>92000</v>
      </c>
    </row>
    <row r="13" spans="1:73" x14ac:dyDescent="0.3">
      <c r="B13" s="1" t="s">
        <v>7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73" x14ac:dyDescent="0.3">
      <c r="B14" s="1" t="s">
        <v>8</v>
      </c>
      <c r="C14" s="1"/>
      <c r="E14" s="2" t="s">
        <v>0</v>
      </c>
      <c r="F14" s="3">
        <v>0</v>
      </c>
      <c r="G14" s="3">
        <f t="shared" ref="G14:P15" si="0">F14+$C$3</f>
        <v>1E-3</v>
      </c>
      <c r="H14" s="3">
        <f t="shared" si="0"/>
        <v>2E-3</v>
      </c>
      <c r="I14" s="3">
        <f t="shared" si="0"/>
        <v>3.0000000000000001E-3</v>
      </c>
      <c r="J14" s="3">
        <f t="shared" si="0"/>
        <v>4.0000000000000001E-3</v>
      </c>
      <c r="K14" s="3">
        <f t="shared" si="0"/>
        <v>5.0000000000000001E-3</v>
      </c>
      <c r="L14" s="3">
        <f t="shared" si="0"/>
        <v>6.0000000000000001E-3</v>
      </c>
      <c r="M14" s="3">
        <f t="shared" si="0"/>
        <v>7.0000000000000001E-3</v>
      </c>
      <c r="N14" s="3">
        <f t="shared" si="0"/>
        <v>8.0000000000000002E-3</v>
      </c>
      <c r="O14" s="3">
        <f t="shared" si="0"/>
        <v>9.0000000000000011E-3</v>
      </c>
      <c r="P14" s="3">
        <f t="shared" si="0"/>
        <v>1.0000000000000002E-2</v>
      </c>
      <c r="Q14" s="3">
        <f t="shared" ref="Q14:Q15" si="1">P14+$C$3</f>
        <v>1.1000000000000003E-2</v>
      </c>
      <c r="R14" s="3">
        <f t="shared" ref="R14:R15" si="2">Q14+$C$3</f>
        <v>1.2000000000000004E-2</v>
      </c>
      <c r="S14" s="3">
        <f t="shared" ref="S14:S15" si="3">R14+$C$3</f>
        <v>1.3000000000000005E-2</v>
      </c>
      <c r="T14" s="3">
        <f t="shared" ref="T14:T15" si="4">S14+$C$3</f>
        <v>1.4000000000000005E-2</v>
      </c>
      <c r="U14" s="3">
        <f t="shared" ref="U14:U15" si="5">T14+$C$3</f>
        <v>1.5000000000000006E-2</v>
      </c>
      <c r="V14" s="3">
        <f t="shared" ref="V14:V15" si="6">U14+$C$3</f>
        <v>1.6000000000000007E-2</v>
      </c>
      <c r="W14" s="3">
        <f t="shared" ref="W14:W15" si="7">V14+$C$3</f>
        <v>1.7000000000000008E-2</v>
      </c>
      <c r="X14" s="3">
        <f t="shared" ref="X14:X15" si="8">W14+$C$3</f>
        <v>1.8000000000000009E-2</v>
      </c>
      <c r="Y14" s="3">
        <f t="shared" ref="Y14:Y15" si="9">X14+$C$3</f>
        <v>1.900000000000001E-2</v>
      </c>
      <c r="Z14" s="3">
        <f t="shared" ref="Z14:Z15" si="10">Y14+$C$3</f>
        <v>2.0000000000000011E-2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1:73" x14ac:dyDescent="0.3">
      <c r="A15" s="9" t="s">
        <v>13</v>
      </c>
      <c r="B15" s="1" t="s">
        <v>11</v>
      </c>
      <c r="C15" s="1">
        <f>C9/C3^2</f>
        <v>46000000</v>
      </c>
      <c r="D15">
        <v>35</v>
      </c>
      <c r="E15">
        <f t="shared" ref="E15:E18" si="11">E16+$E$3</f>
        <v>6.8000000000000047E-2</v>
      </c>
      <c r="F15" s="2"/>
      <c r="G15" s="2"/>
      <c r="H15" s="2"/>
      <c r="I15" s="2">
        <v>1223</v>
      </c>
      <c r="J15" s="2">
        <v>1223</v>
      </c>
      <c r="K15" s="2">
        <v>1223</v>
      </c>
      <c r="L15" s="2">
        <v>1223</v>
      </c>
      <c r="M15" s="2">
        <v>1223</v>
      </c>
      <c r="N15" s="2">
        <v>1223</v>
      </c>
      <c r="O15" s="2">
        <v>1223</v>
      </c>
      <c r="P15" s="2">
        <v>1223</v>
      </c>
      <c r="Q15" s="2">
        <v>1223</v>
      </c>
      <c r="R15" s="2">
        <v>1223</v>
      </c>
      <c r="S15" s="2">
        <v>1223</v>
      </c>
      <c r="T15" s="2">
        <v>1223</v>
      </c>
      <c r="U15" s="2">
        <v>1223</v>
      </c>
      <c r="V15" s="2">
        <v>1223</v>
      </c>
      <c r="W15" s="2">
        <v>1223</v>
      </c>
      <c r="X15" s="2"/>
      <c r="Y15" s="2"/>
      <c r="Z15" s="2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73" ht="13.2" customHeight="1" x14ac:dyDescent="0.3">
      <c r="A16" s="6"/>
      <c r="B16" s="1" t="s">
        <v>9</v>
      </c>
      <c r="C16" s="1">
        <f>(2*C9/C3^2)+(C8*C7/C4)</f>
        <v>95588000</v>
      </c>
      <c r="D16">
        <v>34</v>
      </c>
      <c r="E16">
        <f t="shared" si="11"/>
        <v>6.6000000000000045E-2</v>
      </c>
      <c r="F16" s="2"/>
      <c r="G16" s="2"/>
      <c r="H16" s="2"/>
      <c r="I16" s="2">
        <v>1175.7681660899652</v>
      </c>
      <c r="J16" s="2">
        <v>1185.9993409940023</v>
      </c>
      <c r="K16" s="2">
        <v>1193.7339316398491</v>
      </c>
      <c r="L16" s="2">
        <v>1199.4938221714297</v>
      </c>
      <c r="M16" s="2">
        <v>1203.6676557214976</v>
      </c>
      <c r="N16" s="2">
        <v>1206.537057737203</v>
      </c>
      <c r="O16" s="2">
        <v>1208.2956383891556</v>
      </c>
      <c r="P16" s="2">
        <v>1209.0620562334561</v>
      </c>
      <c r="Q16" s="2">
        <v>1208.8880245848586</v>
      </c>
      <c r="R16" s="2">
        <v>1207.7618008234745</v>
      </c>
      <c r="S16" s="2">
        <v>1205.6073940726708</v>
      </c>
      <c r="T16" s="2">
        <v>1202.2794377869782</v>
      </c>
      <c r="U16" s="2">
        <v>1197.55338128276</v>
      </c>
      <c r="V16" s="2">
        <v>1191.1103383945065</v>
      </c>
      <c r="W16" s="2">
        <v>1182.5155709342562</v>
      </c>
      <c r="X16" s="2"/>
      <c r="Y16" s="2"/>
      <c r="Z16" s="2"/>
      <c r="AA16" s="4"/>
      <c r="AB16" s="4"/>
      <c r="AC16" s="4"/>
      <c r="AD16" s="4"/>
      <c r="AE16" s="4"/>
      <c r="AF16" s="4"/>
      <c r="AG16" s="4"/>
      <c r="AH16" s="4"/>
      <c r="AI16" s="4"/>
      <c r="AJ16" s="4"/>
      <c r="AZ16" s="13" t="s">
        <v>14</v>
      </c>
      <c r="BA16" s="2"/>
      <c r="BB16" s="2"/>
      <c r="BC16" s="2"/>
      <c r="BD16">
        <v>873</v>
      </c>
      <c r="BE16" s="12">
        <f>(BD16*$C$17-AH54)/($C$16-$C$17*BD54)</f>
        <v>466.0221366698749</v>
      </c>
      <c r="BF16" s="12">
        <f t="shared" ref="BF16:BR19" si="12">(BE16*$C$17-AI54)/($C$16-$C$17*BE54)</f>
        <v>351.59529776823013</v>
      </c>
      <c r="BG16" s="12">
        <f t="shared" si="12"/>
        <v>307.90007077781149</v>
      </c>
      <c r="BH16" s="12">
        <f t="shared" si="12"/>
        <v>290.31317396194845</v>
      </c>
      <c r="BI16" s="12">
        <f t="shared" si="12"/>
        <v>283.99553661721882</v>
      </c>
      <c r="BJ16" s="12">
        <f t="shared" si="12"/>
        <v>282.76742640590442</v>
      </c>
      <c r="BK16" s="12">
        <f t="shared" si="12"/>
        <v>283.7605707698936</v>
      </c>
      <c r="BL16" s="12">
        <f t="shared" si="12"/>
        <v>285.58729052585676</v>
      </c>
      <c r="BM16" s="12">
        <f t="shared" si="12"/>
        <v>287.58107624223226</v>
      </c>
      <c r="BN16" s="12">
        <f t="shared" si="12"/>
        <v>289.44039775005058</v>
      </c>
      <c r="BO16" s="12">
        <f t="shared" si="12"/>
        <v>291.04912481091105</v>
      </c>
      <c r="BP16" s="12">
        <f t="shared" si="12"/>
        <v>292.38273898894357</v>
      </c>
      <c r="BQ16" s="12">
        <f t="shared" si="12"/>
        <v>293.45893812911493</v>
      </c>
      <c r="BR16" s="12">
        <f t="shared" si="12"/>
        <v>294.31196675806825</v>
      </c>
      <c r="BS16" s="2"/>
      <c r="BT16" s="2"/>
      <c r="BU16" s="2"/>
    </row>
    <row r="17" spans="1:73" x14ac:dyDescent="0.3">
      <c r="A17" s="6"/>
      <c r="B17" s="1" t="s">
        <v>10</v>
      </c>
      <c r="C17" s="1">
        <f>C15</f>
        <v>46000000</v>
      </c>
      <c r="D17">
        <v>33</v>
      </c>
      <c r="E17">
        <f t="shared" si="11"/>
        <v>6.4000000000000043E-2</v>
      </c>
      <c r="F17" s="2"/>
      <c r="G17" s="2"/>
      <c r="H17" s="2"/>
      <c r="I17" s="2">
        <v>1114.6379462707669</v>
      </c>
      <c r="J17" s="2">
        <v>1136.7581751203707</v>
      </c>
      <c r="K17" s="2">
        <v>1153.6826696282894</v>
      </c>
      <c r="L17" s="2">
        <v>1166.4257620811334</v>
      </c>
      <c r="M17" s="2">
        <v>1175.7518959931276</v>
      </c>
      <c r="N17" s="2">
        <v>1182.2210012797455</v>
      </c>
      <c r="O17" s="2">
        <v>1186.2217641749585</v>
      </c>
      <c r="P17" s="2">
        <v>1187.9947433115526</v>
      </c>
      <c r="Q17" s="2">
        <v>1187.6466893792731</v>
      </c>
      <c r="R17" s="2">
        <v>1185.156910199838</v>
      </c>
      <c r="S17" s="2">
        <v>1180.3760561941813</v>
      </c>
      <c r="T17" s="2">
        <v>1173.0172561092768</v>
      </c>
      <c r="U17" s="2">
        <v>1162.6390838004368</v>
      </c>
      <c r="V17" s="2">
        <v>1148.619357893594</v>
      </c>
      <c r="W17" s="2">
        <v>1130.1182396606575</v>
      </c>
      <c r="X17" s="2"/>
      <c r="Y17" s="2"/>
      <c r="Z17" s="2"/>
      <c r="AA17" s="4"/>
      <c r="AB17" s="4"/>
      <c r="AC17" s="4"/>
      <c r="AD17" s="4"/>
      <c r="AE17" s="4"/>
      <c r="AF17" s="4"/>
      <c r="AG17" s="4"/>
      <c r="AH17" s="4"/>
      <c r="AI17" s="4"/>
      <c r="AJ17" s="4"/>
      <c r="AZ17" s="11"/>
      <c r="BA17" s="2"/>
      <c r="BB17" s="2"/>
      <c r="BC17" s="2"/>
      <c r="BD17">
        <v>873</v>
      </c>
      <c r="BE17" s="12">
        <f>(BD17*$C$17-AH55)/($C$16-$C$17*BD55)</f>
        <v>464.63327651469308</v>
      </c>
      <c r="BF17" s="12">
        <f t="shared" si="12"/>
        <v>349.29589461069861</v>
      </c>
      <c r="BG17" s="12">
        <f t="shared" si="12"/>
        <v>305.05321158220988</v>
      </c>
      <c r="BH17" s="12">
        <f t="shared" si="12"/>
        <v>287.17836318673989</v>
      </c>
      <c r="BI17" s="12">
        <f t="shared" si="12"/>
        <v>280.74189313182217</v>
      </c>
      <c r="BJ17" s="12">
        <f t="shared" si="12"/>
        <v>279.48757389311527</v>
      </c>
      <c r="BK17" s="12">
        <f t="shared" si="12"/>
        <v>280.48370071634361</v>
      </c>
      <c r="BL17" s="12">
        <f t="shared" si="12"/>
        <v>282.28998594203813</v>
      </c>
      <c r="BM17" s="12">
        <f t="shared" si="12"/>
        <v>284.19493782785412</v>
      </c>
      <c r="BN17" s="12">
        <f t="shared" si="12"/>
        <v>285.85596912453775</v>
      </c>
      <c r="BO17" s="12">
        <f t="shared" si="12"/>
        <v>287.11590174126843</v>
      </c>
      <c r="BP17" s="12">
        <f t="shared" si="12"/>
        <v>287.90513727942812</v>
      </c>
      <c r="BQ17" s="12">
        <f t="shared" si="12"/>
        <v>288.18801823209327</v>
      </c>
      <c r="BR17" s="12">
        <f t="shared" si="12"/>
        <v>287.93251424606621</v>
      </c>
      <c r="BS17" s="2"/>
      <c r="BT17" s="2"/>
      <c r="BU17" s="2"/>
    </row>
    <row r="18" spans="1:73" x14ac:dyDescent="0.3">
      <c r="D18">
        <v>32</v>
      </c>
      <c r="E18">
        <f t="shared" si="11"/>
        <v>6.2000000000000041E-2</v>
      </c>
      <c r="F18" s="2"/>
      <c r="G18" s="2"/>
      <c r="H18" s="2"/>
      <c r="I18" s="2">
        <v>1054.0086891452511</v>
      </c>
      <c r="J18" s="2">
        <v>1086.1203688260105</v>
      </c>
      <c r="K18" s="2">
        <v>1111.030919802171</v>
      </c>
      <c r="L18" s="2">
        <v>1130.0235311168265</v>
      </c>
      <c r="M18" s="2">
        <v>1144.0801807870787</v>
      </c>
      <c r="N18" s="2">
        <v>1153.9300135333992</v>
      </c>
      <c r="O18" s="2">
        <v>1160.0854400309934</v>
      </c>
      <c r="P18" s="2">
        <v>1162.8676164411859</v>
      </c>
      <c r="Q18" s="2">
        <v>1162.4224836276078</v>
      </c>
      <c r="R18" s="2">
        <v>1158.7281139073202</v>
      </c>
      <c r="S18" s="2">
        <v>1151.5937123923791</v>
      </c>
      <c r="T18" s="2">
        <v>1140.6502338299915</v>
      </c>
      <c r="U18" s="2">
        <v>1125.3321887123943</v>
      </c>
      <c r="V18" s="2">
        <v>1104.8498086919694</v>
      </c>
      <c r="W18" s="2">
        <v>1078.1503049816438</v>
      </c>
      <c r="X18" s="2"/>
      <c r="Y18" s="2"/>
      <c r="Z18" s="2"/>
      <c r="AA18" s="4"/>
      <c r="AB18" s="4"/>
      <c r="AC18" s="4"/>
      <c r="AD18" s="4"/>
      <c r="AE18" s="4"/>
      <c r="AF18" s="4"/>
      <c r="AG18" s="4"/>
      <c r="AH18" s="4"/>
      <c r="AI18" s="4"/>
      <c r="AJ18" s="4"/>
      <c r="AZ18" s="11"/>
      <c r="BA18" s="2"/>
      <c r="BB18" s="2"/>
      <c r="BC18" s="2"/>
      <c r="BD18">
        <v>873</v>
      </c>
      <c r="BE18" s="12">
        <f t="shared" ref="BE17:BE19" si="13">(BD18*$C$17-AH56)/($C$16-$C$17*BD56)</f>
        <v>462.78495556274737</v>
      </c>
      <c r="BF18" s="12">
        <f t="shared" si="12"/>
        <v>346.18190482321143</v>
      </c>
      <c r="BG18" s="12">
        <f t="shared" si="12"/>
        <v>301.13149128147904</v>
      </c>
      <c r="BH18" s="12">
        <f t="shared" si="12"/>
        <v>282.78786108070904</v>
      </c>
      <c r="BI18" s="12">
        <f t="shared" si="12"/>
        <v>276.11267195234444</v>
      </c>
      <c r="BJ18" s="12">
        <f t="shared" si="12"/>
        <v>274.75404529298334</v>
      </c>
      <c r="BK18" s="12">
        <f t="shared" si="12"/>
        <v>275.69876411349509</v>
      </c>
      <c r="BL18" s="12">
        <f t="shared" si="12"/>
        <v>277.43791467528786</v>
      </c>
      <c r="BM18" s="12">
        <f t="shared" si="12"/>
        <v>279.20146033022399</v>
      </c>
      <c r="BN18" s="12">
        <f t="shared" si="12"/>
        <v>280.5946720354338</v>
      </c>
      <c r="BO18" s="12">
        <f t="shared" si="12"/>
        <v>281.41058784353976</v>
      </c>
      <c r="BP18" s="12">
        <f t="shared" si="12"/>
        <v>281.52803932023835</v>
      </c>
      <c r="BQ18" s="12">
        <f t="shared" si="12"/>
        <v>280.85383328779324</v>
      </c>
      <c r="BR18" s="12">
        <f t="shared" si="12"/>
        <v>279.28814339970586</v>
      </c>
      <c r="BS18" s="2"/>
      <c r="BT18" s="2"/>
      <c r="BU18" s="2"/>
    </row>
    <row r="19" spans="1:73" ht="14.4" customHeight="1" x14ac:dyDescent="0.3">
      <c r="D19">
        <v>31</v>
      </c>
      <c r="E19">
        <f t="shared" ref="E19:E47" si="14">E20+$E$3</f>
        <v>6.0000000000000039E-2</v>
      </c>
      <c r="F19" s="2"/>
      <c r="G19" s="2"/>
      <c r="H19" s="2"/>
      <c r="I19" s="2">
        <v>1002.2784664294436</v>
      </c>
      <c r="J19" s="2">
        <v>1040.8673277461505</v>
      </c>
      <c r="K19" s="2">
        <v>1071.2624324168635</v>
      </c>
      <c r="L19" s="2">
        <v>1094.7560986040617</v>
      </c>
      <c r="M19" s="2">
        <v>1112.3570974005843</v>
      </c>
      <c r="N19" s="2">
        <v>1124.8276408214397</v>
      </c>
      <c r="O19" s="2">
        <v>1132.7118365578917</v>
      </c>
      <c r="P19" s="2">
        <v>1136.3563177865251</v>
      </c>
      <c r="Q19" s="2">
        <v>1135.9235900259537</v>
      </c>
      <c r="R19" s="2">
        <v>1131.3984637810122</v>
      </c>
      <c r="S19" s="2">
        <v>1122.5877660294575</v>
      </c>
      <c r="T19" s="2">
        <v>1109.1133485041109</v>
      </c>
      <c r="U19" s="2">
        <v>1090.3982386416856</v>
      </c>
      <c r="V19" s="2">
        <v>1065.6456127304286</v>
      </c>
      <c r="W19" s="2">
        <v>1033.8101140823801</v>
      </c>
      <c r="X19" s="2"/>
      <c r="Y19" s="2"/>
      <c r="Z19" s="2"/>
      <c r="AA19" s="4"/>
      <c r="AB19" s="4"/>
      <c r="AC19" s="4"/>
      <c r="AD19" s="4"/>
      <c r="AE19" s="4"/>
      <c r="AF19" s="4"/>
      <c r="AG19" s="4"/>
      <c r="AH19" s="4"/>
      <c r="AI19" s="4"/>
      <c r="AJ19" s="4"/>
      <c r="AZ19" s="11"/>
      <c r="BA19" s="2"/>
      <c r="BB19" s="2"/>
      <c r="BC19" s="2"/>
      <c r="BD19">
        <v>873</v>
      </c>
      <c r="BE19" s="12">
        <f t="shared" si="13"/>
        <v>460.88421018692435</v>
      </c>
      <c r="BF19" s="12">
        <f t="shared" si="12"/>
        <v>342.90805307329282</v>
      </c>
      <c r="BG19" s="12">
        <f t="shared" si="12"/>
        <v>296.92051205856785</v>
      </c>
      <c r="BH19" s="12">
        <f t="shared" si="12"/>
        <v>277.97824262804846</v>
      </c>
      <c r="BI19" s="12">
        <f t="shared" si="12"/>
        <v>270.94657077734405</v>
      </c>
      <c r="BJ19" s="12">
        <f t="shared" si="12"/>
        <v>269.3841970919587</v>
      </c>
      <c r="BK19" s="12">
        <f t="shared" si="12"/>
        <v>270.19873714481031</v>
      </c>
      <c r="BL19" s="12">
        <f t="shared" si="12"/>
        <v>271.81322346709368</v>
      </c>
      <c r="BM19" s="12">
        <f t="shared" si="12"/>
        <v>273.39963305598775</v>
      </c>
      <c r="BN19" s="12">
        <f t="shared" si="12"/>
        <v>274.51311833809518</v>
      </c>
      <c r="BO19" s="12">
        <f t="shared" si="12"/>
        <v>274.90175809936676</v>
      </c>
      <c r="BP19" s="12">
        <f t="shared" si="12"/>
        <v>274.40180293359106</v>
      </c>
      <c r="BQ19" s="12">
        <f t="shared" si="12"/>
        <v>272.87724894038485</v>
      </c>
      <c r="BR19" s="12">
        <f t="shared" si="12"/>
        <v>270.18290819355417</v>
      </c>
      <c r="BS19" s="2"/>
      <c r="BT19" s="2"/>
      <c r="BU19" s="2"/>
    </row>
    <row r="20" spans="1:73" x14ac:dyDescent="0.3">
      <c r="A20" s="8" t="s">
        <v>21</v>
      </c>
      <c r="B20" s="1" t="s">
        <v>11</v>
      </c>
      <c r="C20" s="1">
        <f>C9/E3^2</f>
        <v>11500000</v>
      </c>
      <c r="D20">
        <v>30</v>
      </c>
      <c r="E20">
        <f t="shared" si="14"/>
        <v>5.8000000000000038E-2</v>
      </c>
      <c r="F20" s="2"/>
      <c r="G20" s="2"/>
      <c r="H20" s="2"/>
      <c r="I20" s="2"/>
      <c r="J20" s="2">
        <v>995.92339605114148</v>
      </c>
      <c r="K20" s="2">
        <v>1030.7357329543465</v>
      </c>
      <c r="L20" s="2">
        <v>1057.9845964774727</v>
      </c>
      <c r="M20" s="2">
        <v>1078.6318944050047</v>
      </c>
      <c r="N20" s="2">
        <v>1093.4183420100751</v>
      </c>
      <c r="O20" s="2">
        <v>1102.8820842432071</v>
      </c>
      <c r="P20" s="2">
        <v>1107.3728425106606</v>
      </c>
      <c r="Q20" s="2">
        <v>1107.0615307874143</v>
      </c>
      <c r="R20" s="2">
        <v>1101.945349361949</v>
      </c>
      <c r="S20" s="2">
        <v>1091.8484018021659</v>
      </c>
      <c r="T20" s="2">
        <v>1076.4179083878969</v>
      </c>
      <c r="U20" s="2">
        <v>1055.1161227861219</v>
      </c>
      <c r="V20" s="2">
        <v>818.51138888047205</v>
      </c>
      <c r="W20" s="2"/>
      <c r="X20" s="2"/>
      <c r="Y20" s="2"/>
      <c r="Z20" s="2"/>
      <c r="AA20" s="4"/>
      <c r="AB20" s="4"/>
      <c r="AC20" s="4"/>
      <c r="AD20" s="4"/>
      <c r="AE20" s="4"/>
      <c r="AF20" s="4"/>
      <c r="AG20" s="4"/>
      <c r="AH20" s="4"/>
      <c r="AI20" s="4"/>
      <c r="AJ20" s="4"/>
      <c r="AZ20" s="11"/>
      <c r="BA20" s="2"/>
      <c r="BB20" s="2"/>
      <c r="BC20" s="2"/>
      <c r="BD20">
        <v>873</v>
      </c>
      <c r="BE20" s="12">
        <f>(BD20*$C$17-AH58)/($C$16-$C$17*BD58)</f>
        <v>459.18558785572651</v>
      </c>
      <c r="BF20" s="12">
        <f t="shared" ref="BF20:BR21" si="15">(BE20*$C$17-AI58)/($C$16-$C$17*BE58)</f>
        <v>339.90162746333561</v>
      </c>
      <c r="BG20" s="12">
        <f t="shared" si="15"/>
        <v>292.95471561923995</v>
      </c>
      <c r="BH20" s="12">
        <f t="shared" si="15"/>
        <v>273.34223592456738</v>
      </c>
      <c r="BI20" s="12">
        <f t="shared" si="15"/>
        <v>265.86170077123762</v>
      </c>
      <c r="BJ20" s="12">
        <f t="shared" si="15"/>
        <v>264.0029628885294</v>
      </c>
      <c r="BK20" s="12">
        <f t="shared" si="15"/>
        <v>264.6091525970877</v>
      </c>
      <c r="BL20" s="12">
        <f t="shared" si="15"/>
        <v>266.04618606778615</v>
      </c>
      <c r="BM20" s="12">
        <f t="shared" si="15"/>
        <v>267.43731649649152</v>
      </c>
      <c r="BN20" s="12">
        <f t="shared" si="15"/>
        <v>268.29709058313546</v>
      </c>
      <c r="BO20" s="12">
        <f t="shared" si="15"/>
        <v>268.34019677125627</v>
      </c>
      <c r="BP20" s="12">
        <f t="shared" si="15"/>
        <v>267.37570866187951</v>
      </c>
      <c r="BQ20" s="12">
        <f t="shared" si="15"/>
        <v>265.24593442208902</v>
      </c>
      <c r="BR20" s="12">
        <f t="shared" si="15"/>
        <v>261.78930981635853</v>
      </c>
      <c r="BS20" s="2"/>
      <c r="BT20" s="2"/>
      <c r="BU20" s="2"/>
    </row>
    <row r="21" spans="1:73" x14ac:dyDescent="0.3">
      <c r="A21" s="6"/>
      <c r="B21" s="1" t="s">
        <v>9</v>
      </c>
      <c r="C21" s="1">
        <f>(2*C9/E3^2)+(C8*C7/C4)</f>
        <v>26588000</v>
      </c>
      <c r="D21">
        <v>29</v>
      </c>
      <c r="E21">
        <f t="shared" si="14"/>
        <v>5.6000000000000036E-2</v>
      </c>
      <c r="F21" s="2"/>
      <c r="G21" s="2"/>
      <c r="H21" s="2"/>
      <c r="I21" s="2"/>
      <c r="J21" s="2"/>
      <c r="K21" s="2">
        <v>989.01113186548673</v>
      </c>
      <c r="L21" s="2">
        <v>1019.565101382723</v>
      </c>
      <c r="M21" s="2">
        <v>1042.9583046903949</v>
      </c>
      <c r="N21" s="2">
        <v>1059.8884938844453</v>
      </c>
      <c r="O21" s="2">
        <v>1070.8726651701545</v>
      </c>
      <c r="P21" s="2">
        <v>1076.2553220998052</v>
      </c>
      <c r="Q21" s="2">
        <v>1076.2147178012037</v>
      </c>
      <c r="R21" s="2">
        <v>1070.7668441352475</v>
      </c>
      <c r="S21" s="2">
        <v>1059.7671202704876</v>
      </c>
      <c r="T21" s="2">
        <v>1042.9099042731948</v>
      </c>
      <c r="U21" s="2">
        <v>1019.7261299816091</v>
      </c>
      <c r="V21" s="2"/>
      <c r="W21" s="2"/>
      <c r="X21" s="2"/>
      <c r="Y21" s="2"/>
      <c r="Z21" s="2"/>
      <c r="AA21" s="4"/>
      <c r="AB21" s="4"/>
      <c r="AC21" s="4"/>
      <c r="AD21" s="4"/>
      <c r="AE21" s="4"/>
      <c r="AF21" s="4"/>
      <c r="AG21" s="4"/>
      <c r="AH21" s="4"/>
      <c r="AI21" s="4"/>
      <c r="AJ21" s="4"/>
      <c r="AZ21" s="11"/>
      <c r="BA21" s="2"/>
      <c r="BB21" s="2"/>
      <c r="BC21" s="2"/>
      <c r="BD21" s="2"/>
      <c r="BE21">
        <v>873</v>
      </c>
      <c r="BF21" s="12">
        <f t="shared" ref="BF21" si="16">(BE21*$C$17-AI59)/($C$16-$C$17*BE59)</f>
        <v>458.80528737749711</v>
      </c>
      <c r="BG21" s="12">
        <f t="shared" si="15"/>
        <v>339.01485390541455</v>
      </c>
      <c r="BH21" s="12">
        <f t="shared" ref="BH21" si="17">(BG21*$C$17-AK59)/($C$16-$C$17*BG59)</f>
        <v>291.47754413785037</v>
      </c>
      <c r="BI21" s="12">
        <f t="shared" ref="BI21" si="18">(BH21*$C$17-AL59)/($C$16-$C$17*BH59)</f>
        <v>271.21550092377237</v>
      </c>
      <c r="BJ21" s="12">
        <f t="shared" ref="BJ21" si="19">(BI21*$C$17-AM59)/($C$16-$C$17*BI59)</f>
        <v>263.03542827620947</v>
      </c>
      <c r="BK21" s="12">
        <f t="shared" ref="BK21" si="20">(BJ21*$C$17-AN59)/($C$16-$C$17*BJ59)</f>
        <v>260.42339372503341</v>
      </c>
      <c r="BL21" s="12">
        <f t="shared" ref="BL21" si="21">(BK21*$C$17-AO59)/($C$16-$C$17*BK59)</f>
        <v>260.20856729107913</v>
      </c>
      <c r="BM21" s="12">
        <f t="shared" ref="BM21" si="22">(BL21*$C$17-AP59)/($C$16-$C$17*BL59)</f>
        <v>260.73530713560973</v>
      </c>
      <c r="BN21" s="12">
        <f t="shared" ref="BN21" si="23">(BM21*$C$17-AQ59)/($C$16-$C$17*BM59)</f>
        <v>261.09981753914866</v>
      </c>
      <c r="BO21" s="12">
        <f t="shared" ref="BO21" si="24">(BN21*$C$17-AR59)/($C$16-$C$17*BN59)</f>
        <v>260.78570065132277</v>
      </c>
      <c r="BP21" s="12">
        <f t="shared" si="15"/>
        <v>259.47399505400796</v>
      </c>
      <c r="BQ21" s="12">
        <f t="shared" ref="BQ21" si="25">(BP21*$C$17-AT59)/($C$16-$C$17*BP59)</f>
        <v>244.62220243913535</v>
      </c>
      <c r="BR21" s="12"/>
      <c r="BS21" s="2"/>
      <c r="BT21" s="2"/>
      <c r="BU21" s="2"/>
    </row>
    <row r="22" spans="1:73" x14ac:dyDescent="0.3">
      <c r="A22" s="6"/>
      <c r="B22" s="1" t="s">
        <v>10</v>
      </c>
      <c r="C22" s="1">
        <f>C20</f>
        <v>11500000</v>
      </c>
      <c r="D22">
        <v>28</v>
      </c>
      <c r="E22">
        <f t="shared" si="14"/>
        <v>5.4000000000000034E-2</v>
      </c>
      <c r="F22" s="2"/>
      <c r="G22" s="2"/>
      <c r="H22" s="2"/>
      <c r="I22" s="2"/>
      <c r="J22" s="2"/>
      <c r="K22" s="2"/>
      <c r="L22" s="2">
        <v>980.496913370519</v>
      </c>
      <c r="M22" s="2">
        <v>1006.3287984804024</v>
      </c>
      <c r="N22" s="2">
        <v>1025.2378442851746</v>
      </c>
      <c r="O22" s="2">
        <v>1037.7123416469572</v>
      </c>
      <c r="P22" s="2">
        <v>1044.0892173505542</v>
      </c>
      <c r="Q22" s="2">
        <v>1044.5576865897406</v>
      </c>
      <c r="R22" s="2">
        <v>1039.162670932501</v>
      </c>
      <c r="S22" s="2">
        <v>1027.8079039406371</v>
      </c>
      <c r="T22" s="2">
        <v>1010.2589054898464</v>
      </c>
      <c r="U22" s="2"/>
      <c r="V22" s="2"/>
      <c r="W22" s="2"/>
      <c r="X22" s="2"/>
      <c r="Y22" s="2"/>
      <c r="Z22" s="2"/>
      <c r="AA22" s="4"/>
      <c r="AB22" s="4"/>
      <c r="AC22" s="4"/>
      <c r="AD22" s="4"/>
      <c r="AE22" s="4"/>
      <c r="AF22" s="4"/>
      <c r="AG22" s="4"/>
      <c r="AH22" s="4"/>
      <c r="AI22" s="4"/>
      <c r="AJ22" s="4"/>
      <c r="AZ22" s="11"/>
      <c r="BA22" s="2"/>
      <c r="BB22" s="2"/>
      <c r="BC22" s="2"/>
      <c r="BD22" s="2"/>
      <c r="BE22" s="2"/>
      <c r="BF22">
        <v>873</v>
      </c>
      <c r="BG22" s="12">
        <f t="shared" ref="BG22" si="26">(BF22*$C$17-AJ60)/($C$16-$C$17*BF60)</f>
        <v>458.385985518697</v>
      </c>
      <c r="BH22" s="12">
        <f t="shared" ref="BH22" si="27">(BG22*$C$17-AK60)/($C$16-$C$17*BG60)</f>
        <v>338.01824539863679</v>
      </c>
      <c r="BI22" s="12">
        <f t="shared" ref="BI22" si="28">(BH22*$C$17-AL60)/($C$16-$C$17*BH60)</f>
        <v>289.78398862631514</v>
      </c>
      <c r="BJ22" s="12">
        <f t="shared" ref="BJ22" si="29">(BI22*$C$17-AM60)/($C$16-$C$17*BI60)</f>
        <v>268.7304769805786</v>
      </c>
      <c r="BK22" s="12">
        <f t="shared" ref="BK22" si="30">(BJ22*$C$17-AN60)/($C$16-$C$17*BJ60)</f>
        <v>259.67650067317055</v>
      </c>
      <c r="BL22" s="12">
        <f t="shared" ref="BL22" si="31">(BK22*$C$17-AO60)/($C$16-$C$17*BK60)</f>
        <v>256.10852900372868</v>
      </c>
      <c r="BM22" s="12">
        <f t="shared" ref="BM22" si="32">(BL22*$C$17-AP60)/($C$16-$C$17*BL60)</f>
        <v>254.84654352940171</v>
      </c>
      <c r="BN22" s="12">
        <f t="shared" ref="BN22" si="33">(BM22*$C$17-AQ60)/($C$16-$C$17*BM60)</f>
        <v>254.21849265090654</v>
      </c>
      <c r="BO22" s="12">
        <f t="shared" ref="BO22:BP22" si="34">(BN22*$C$17-AR60)/($C$16-$C$17*BN60)</f>
        <v>253.29925649157977</v>
      </c>
      <c r="BP22" s="12">
        <f t="shared" si="34"/>
        <v>251.54830845207678</v>
      </c>
      <c r="BQ22" s="2"/>
      <c r="BR22" s="2"/>
      <c r="BS22" s="2"/>
      <c r="BT22" s="2"/>
      <c r="BU22" s="2"/>
    </row>
    <row r="23" spans="1:73" x14ac:dyDescent="0.3">
      <c r="D23">
        <v>27</v>
      </c>
      <c r="E23">
        <f t="shared" si="14"/>
        <v>5.2000000000000032E-2</v>
      </c>
      <c r="F23" s="2"/>
      <c r="G23" s="2"/>
      <c r="H23" s="2"/>
      <c r="I23" s="2"/>
      <c r="J23" s="2"/>
      <c r="K23" s="2"/>
      <c r="L23" s="2"/>
      <c r="M23" s="2">
        <v>970.21774622389512</v>
      </c>
      <c r="N23" s="2">
        <v>990.94712747232484</v>
      </c>
      <c r="O23" s="2">
        <v>1004.9387933640571</v>
      </c>
      <c r="P23" s="2">
        <v>1012.5251203772593</v>
      </c>
      <c r="Q23" s="2">
        <v>1013.9166157779093</v>
      </c>
      <c r="R23" s="2">
        <v>1009.2056105630918</v>
      </c>
      <c r="S23" s="2">
        <v>998.37156187838968</v>
      </c>
      <c r="T23" s="2"/>
      <c r="U23" s="2"/>
      <c r="V23" s="2"/>
      <c r="W23" s="2"/>
      <c r="X23" s="2"/>
      <c r="Y23" s="2"/>
      <c r="Z23" s="2"/>
      <c r="AA23" s="4"/>
      <c r="AB23" s="4"/>
      <c r="AC23" s="4"/>
      <c r="AD23" s="4"/>
      <c r="AE23" s="4"/>
      <c r="AF23" s="4"/>
      <c r="AG23" s="4"/>
      <c r="AH23" s="4"/>
      <c r="AI23" s="4"/>
      <c r="AJ23" s="4"/>
      <c r="AZ23" s="11"/>
      <c r="BA23" s="2"/>
      <c r="BB23" s="2"/>
      <c r="BC23" s="2"/>
      <c r="BD23" s="2"/>
      <c r="BE23" s="2"/>
      <c r="BF23" s="2"/>
      <c r="BG23">
        <v>873</v>
      </c>
      <c r="BH23" s="12">
        <f t="shared" ref="BH23" si="35">(BG23*$C$17-AK61)/($C$16-$C$17*BG61)</f>
        <v>457.88914642996701</v>
      </c>
      <c r="BI23" s="12">
        <f t="shared" ref="BI23" si="36">(BH23*$C$17-AL61)/($C$16-$C$17*BH61)</f>
        <v>336.84147147407651</v>
      </c>
      <c r="BJ23" s="12">
        <f t="shared" ref="BJ23" si="37">(BI23*$C$17-AM61)/($C$16-$C$17*BI61)</f>
        <v>287.78189191186817</v>
      </c>
      <c r="BK23" s="12">
        <f t="shared" ref="BK23" si="38">(BJ23*$C$17-AN61)/($C$16-$C$17*BJ61)</f>
        <v>265.78540294648968</v>
      </c>
      <c r="BL23" s="12">
        <f t="shared" ref="BL23" si="39">(BK23*$C$17-AO61)/($C$16-$C$17*BK61)</f>
        <v>255.68761228572723</v>
      </c>
      <c r="BM23" s="12">
        <f t="shared" ref="BM23" si="40">(BL23*$C$17-AP61)/($C$16-$C$17*BL61)</f>
        <v>250.98149663509818</v>
      </c>
      <c r="BN23" s="12">
        <f t="shared" ref="BN23:BO23" si="41">(BM23*$C$17-AQ61)/($C$16-$C$17*BM61)</f>
        <v>248.48504384259613</v>
      </c>
      <c r="BO23" s="12">
        <f t="shared" si="41"/>
        <v>246.51820573913443</v>
      </c>
      <c r="BP23" s="2"/>
      <c r="BQ23" s="2"/>
      <c r="BR23" s="2"/>
      <c r="BS23" s="2"/>
      <c r="BT23" s="2"/>
      <c r="BU23" s="2"/>
    </row>
    <row r="24" spans="1:73" x14ac:dyDescent="0.3">
      <c r="D24">
        <v>26</v>
      </c>
      <c r="E24">
        <f t="shared" si="14"/>
        <v>5.0000000000000031E-2</v>
      </c>
      <c r="F24" s="2"/>
      <c r="G24" s="2"/>
      <c r="H24" s="2"/>
      <c r="I24" s="2"/>
      <c r="J24" s="2"/>
      <c r="K24" s="2"/>
      <c r="L24" s="2"/>
      <c r="M24" s="2">
        <v>940.76393878812382</v>
      </c>
      <c r="N24" s="2">
        <v>962.16993585734303</v>
      </c>
      <c r="O24" s="2">
        <v>976.9947897827592</v>
      </c>
      <c r="P24" s="2">
        <v>985.52367566579085</v>
      </c>
      <c r="Q24" s="2">
        <v>987.96533801195005</v>
      </c>
      <c r="R24" s="2">
        <v>984.45454737750049</v>
      </c>
      <c r="S24" s="2">
        <v>975.05866709688667</v>
      </c>
      <c r="T24" s="2"/>
      <c r="U24" s="2"/>
      <c r="V24" s="2"/>
      <c r="W24" s="2"/>
      <c r="X24" s="2"/>
      <c r="Y24" s="2"/>
      <c r="Z24" s="2"/>
      <c r="AA24" s="4"/>
      <c r="AB24" s="4"/>
      <c r="AC24" s="4"/>
      <c r="AD24" s="4"/>
      <c r="AE24" s="4"/>
      <c r="AF24" s="4"/>
      <c r="AG24" s="4"/>
      <c r="AH24" s="4"/>
      <c r="AI24" s="4"/>
      <c r="AJ24" s="4"/>
      <c r="AZ24" s="11"/>
      <c r="BA24" s="2"/>
      <c r="BB24" s="2"/>
      <c r="BC24" s="2"/>
      <c r="BD24" s="2"/>
      <c r="BE24" s="2"/>
      <c r="BF24" s="2"/>
      <c r="BG24" s="2"/>
      <c r="BH24">
        <v>873</v>
      </c>
      <c r="BI24" s="12">
        <f t="shared" ref="BB24:BI50" si="42">(BH24*$C$17-AL62)/($C$16-$C$17*BH62)</f>
        <v>457.3117786057947</v>
      </c>
      <c r="BJ24" s="12">
        <f t="shared" ref="BJ24:BJ50" si="43">(BI24*$C$17-AM62)/($C$16-$C$17*BI62)</f>
        <v>335.48830449333445</v>
      </c>
      <c r="BK24" s="12">
        <f t="shared" ref="BK24:BK50" si="44">(BJ24*$C$17-AN62)/($C$16-$C$17*BJ62)</f>
        <v>285.49650902517988</v>
      </c>
      <c r="BL24" s="12">
        <f t="shared" ref="BL24:BL50" si="45">(BK24*$C$17-AO62)/($C$16-$C$17*BK62)</f>
        <v>262.44610750920123</v>
      </c>
      <c r="BM24" s="12">
        <f t="shared" ref="BM24:BM50" si="46">(BL24*$C$17-AP62)/($C$16-$C$17*BL62)</f>
        <v>251.19858019854803</v>
      </c>
      <c r="BN24" s="12">
        <f t="shared" ref="BN24:BN50" si="47">(BM24*$C$17-AQ62)/($C$16-$C$17*BM62)</f>
        <v>245.26432522855899</v>
      </c>
      <c r="BO24" s="2"/>
      <c r="BP24" s="2"/>
      <c r="BQ24" s="2"/>
      <c r="BR24" s="2"/>
      <c r="BS24" s="2"/>
      <c r="BT24" s="2"/>
      <c r="BU24" s="2"/>
    </row>
    <row r="25" spans="1:73" x14ac:dyDescent="0.3">
      <c r="D25">
        <v>25</v>
      </c>
      <c r="E25">
        <f t="shared" si="14"/>
        <v>4.8000000000000029E-2</v>
      </c>
      <c r="F25" s="2"/>
      <c r="G25" s="2"/>
      <c r="H25" s="2"/>
      <c r="I25" s="2"/>
      <c r="J25" s="2"/>
      <c r="K25" s="2"/>
      <c r="L25" s="2"/>
      <c r="M25" s="2">
        <v>918.81139679547573</v>
      </c>
      <c r="N25" s="2">
        <v>939.78991260871578</v>
      </c>
      <c r="O25" s="2">
        <v>954.73497008998697</v>
      </c>
      <c r="P25" s="2">
        <v>963.8509538960343</v>
      </c>
      <c r="Q25" s="2">
        <v>967.32167414634512</v>
      </c>
      <c r="R25" s="2">
        <v>965.31042159973322</v>
      </c>
      <c r="S25" s="2">
        <v>957.96650001446847</v>
      </c>
      <c r="T25" s="2"/>
      <c r="U25" s="2"/>
      <c r="V25" s="2"/>
      <c r="W25" s="2"/>
      <c r="X25" s="2"/>
      <c r="Y25" s="2"/>
      <c r="Z25" s="2"/>
      <c r="AA25" s="4"/>
      <c r="AB25" s="4"/>
      <c r="AC25" s="4"/>
      <c r="AD25" s="4"/>
      <c r="AE25" s="4"/>
      <c r="AF25" s="4"/>
      <c r="AG25" s="4"/>
      <c r="AH25" s="4"/>
      <c r="AI25" s="4"/>
      <c r="AJ25" s="4"/>
      <c r="AZ25" s="11"/>
      <c r="BA25" s="2"/>
      <c r="BB25" s="2"/>
      <c r="BC25" s="2"/>
      <c r="BD25" s="2"/>
      <c r="BE25" s="2"/>
      <c r="BF25" s="2"/>
      <c r="BG25" s="2"/>
      <c r="BH25">
        <v>873</v>
      </c>
      <c r="BI25" s="12">
        <f t="shared" si="42"/>
        <v>456.23159528242195</v>
      </c>
      <c r="BJ25" s="12">
        <f t="shared" si="43"/>
        <v>333.44679595333378</v>
      </c>
      <c r="BK25" s="12">
        <f t="shared" si="44"/>
        <v>282.63949907912189</v>
      </c>
      <c r="BL25" s="12">
        <f t="shared" si="45"/>
        <v>258.93234532459235</v>
      </c>
      <c r="BM25" s="12">
        <f t="shared" si="46"/>
        <v>247.18991814531788</v>
      </c>
      <c r="BN25" s="12">
        <f t="shared" si="47"/>
        <v>240.92128247347782</v>
      </c>
      <c r="BO25" s="2"/>
      <c r="BP25" s="2"/>
      <c r="BQ25" s="2"/>
      <c r="BR25" s="2"/>
      <c r="BS25" s="2"/>
      <c r="BT25" s="2"/>
      <c r="BU25" s="2"/>
    </row>
    <row r="26" spans="1:73" x14ac:dyDescent="0.3">
      <c r="D26">
        <v>24</v>
      </c>
      <c r="E26">
        <f t="shared" si="14"/>
        <v>4.6000000000000027E-2</v>
      </c>
      <c r="F26" s="2"/>
      <c r="G26" s="2"/>
      <c r="H26" s="2"/>
      <c r="I26" s="2"/>
      <c r="J26" s="2"/>
      <c r="K26" s="2"/>
      <c r="L26" s="2"/>
      <c r="M26" s="2">
        <v>903.29316297011576</v>
      </c>
      <c r="N26" s="2">
        <v>923.09645051751863</v>
      </c>
      <c r="O26" s="2">
        <v>937.64360284896406</v>
      </c>
      <c r="P26" s="2">
        <v>947.04689209962567</v>
      </c>
      <c r="Q26" s="2">
        <v>951.45200457959436</v>
      </c>
      <c r="R26" s="2">
        <v>951.03549531589329</v>
      </c>
      <c r="S26" s="2">
        <v>946.01024542839468</v>
      </c>
      <c r="T26" s="2"/>
      <c r="U26" s="2"/>
      <c r="V26" s="2"/>
      <c r="W26" s="2"/>
      <c r="X26" s="2"/>
      <c r="Y26" s="2"/>
      <c r="Z26" s="2"/>
      <c r="AA26" s="4"/>
      <c r="AB26" s="4"/>
      <c r="AC26" s="4"/>
      <c r="AD26" s="4"/>
      <c r="AE26" s="4"/>
      <c r="AF26" s="4"/>
      <c r="AG26" s="4"/>
      <c r="AH26" s="4"/>
      <c r="AI26" s="4"/>
      <c r="AJ26" s="4"/>
      <c r="AZ26" s="11"/>
      <c r="BA26" s="2"/>
      <c r="BB26" s="2"/>
      <c r="BC26" s="2"/>
      <c r="BD26" s="2"/>
      <c r="BE26" s="2"/>
      <c r="BF26" s="2"/>
      <c r="BG26" s="2"/>
      <c r="BH26">
        <v>873</v>
      </c>
      <c r="BI26" s="12">
        <f t="shared" si="42"/>
        <v>455.39153666192482</v>
      </c>
      <c r="BJ26" s="12">
        <f t="shared" si="43"/>
        <v>331.83333395885847</v>
      </c>
      <c r="BK26" s="12">
        <f t="shared" si="44"/>
        <v>280.36364682138287</v>
      </c>
      <c r="BL26" s="12">
        <f t="shared" si="45"/>
        <v>256.13494777941901</v>
      </c>
      <c r="BM26" s="12">
        <f t="shared" si="46"/>
        <v>244.03072768024057</v>
      </c>
      <c r="BN26" s="12">
        <f t="shared" si="47"/>
        <v>237.57301251254304</v>
      </c>
      <c r="BO26" s="2"/>
      <c r="BP26" s="2"/>
      <c r="BQ26" s="2"/>
      <c r="BR26" s="2"/>
      <c r="BS26" s="2"/>
      <c r="BT26" s="2"/>
      <c r="BU26" s="2"/>
    </row>
    <row r="27" spans="1:73" x14ac:dyDescent="0.3">
      <c r="D27">
        <v>23</v>
      </c>
      <c r="E27">
        <f t="shared" si="14"/>
        <v>4.4000000000000025E-2</v>
      </c>
      <c r="F27" s="2"/>
      <c r="G27" s="2"/>
      <c r="H27" s="2"/>
      <c r="I27" s="2"/>
      <c r="J27" s="2"/>
      <c r="K27" s="2"/>
      <c r="L27" s="2"/>
      <c r="M27" s="2">
        <v>892.69906373155368</v>
      </c>
      <c r="N27" s="2">
        <v>910.94969143866797</v>
      </c>
      <c r="O27" s="2">
        <v>924.80172864859583</v>
      </c>
      <c r="P27" s="2">
        <v>934.28252737162052</v>
      </c>
      <c r="Q27" s="2">
        <v>939.49646164844012</v>
      </c>
      <c r="R27" s="2">
        <v>940.62032016184969</v>
      </c>
      <c r="S27" s="2">
        <v>937.90709766905354</v>
      </c>
      <c r="T27" s="2"/>
      <c r="U27" s="2"/>
      <c r="V27" s="2"/>
      <c r="W27" s="2"/>
      <c r="X27" s="2"/>
      <c r="Y27" s="2"/>
      <c r="Z27" s="2"/>
      <c r="AA27" s="4"/>
      <c r="AB27" s="4"/>
      <c r="AC27" s="4"/>
      <c r="AD27" s="4"/>
      <c r="AE27" s="4"/>
      <c r="AF27" s="4"/>
      <c r="AG27" s="4"/>
      <c r="AH27" s="4"/>
      <c r="AI27" s="4"/>
      <c r="AJ27" s="4"/>
      <c r="AZ27" s="11"/>
      <c r="BA27" s="2"/>
      <c r="BB27" s="2"/>
      <c r="BC27" s="2"/>
      <c r="BD27" s="2"/>
      <c r="BE27" s="2"/>
      <c r="BF27" s="2"/>
      <c r="BG27" s="2"/>
      <c r="BH27">
        <v>873</v>
      </c>
      <c r="BI27" s="12">
        <f t="shared" si="42"/>
        <v>454.76492932645158</v>
      </c>
      <c r="BJ27" s="12">
        <f t="shared" si="43"/>
        <v>330.60602108461927</v>
      </c>
      <c r="BK27" s="12">
        <f t="shared" si="44"/>
        <v>278.61537336957741</v>
      </c>
      <c r="BL27" s="12">
        <f t="shared" si="45"/>
        <v>253.98538382445221</v>
      </c>
      <c r="BM27" s="12">
        <f t="shared" si="46"/>
        <v>241.62818028482457</v>
      </c>
      <c r="BN27" s="12">
        <f t="shared" si="47"/>
        <v>235.0872623238271</v>
      </c>
      <c r="BO27" s="2"/>
      <c r="BP27" s="2"/>
      <c r="BQ27" s="2"/>
      <c r="BR27" s="2"/>
      <c r="BS27" s="2"/>
      <c r="BT27" s="2"/>
      <c r="BU27" s="2"/>
    </row>
    <row r="28" spans="1:73" x14ac:dyDescent="0.3">
      <c r="D28">
        <v>22</v>
      </c>
      <c r="E28">
        <f t="shared" si="14"/>
        <v>4.2000000000000023E-2</v>
      </c>
      <c r="F28" s="2"/>
      <c r="G28" s="2"/>
      <c r="H28" s="2"/>
      <c r="I28" s="2"/>
      <c r="J28" s="2"/>
      <c r="K28" s="2"/>
      <c r="L28" s="2"/>
      <c r="M28" s="2">
        <v>885.64303217632641</v>
      </c>
      <c r="N28" s="2">
        <v>902.24515610664503</v>
      </c>
      <c r="O28" s="2">
        <v>915.28128524884903</v>
      </c>
      <c r="P28" s="2">
        <v>924.71146510373364</v>
      </c>
      <c r="Q28" s="2">
        <v>930.60235676692696</v>
      </c>
      <c r="R28" s="2">
        <v>933.12142978068209</v>
      </c>
      <c r="S28" s="2">
        <v>932.53891701325256</v>
      </c>
      <c r="T28" s="2"/>
      <c r="U28" s="2"/>
      <c r="V28" s="2"/>
      <c r="W28" s="2"/>
      <c r="X28" s="2"/>
      <c r="Y28" s="2"/>
      <c r="Z28" s="2"/>
      <c r="AA28" s="4"/>
      <c r="AB28" s="4"/>
      <c r="AC28" s="4"/>
      <c r="AD28" s="4"/>
      <c r="AE28" s="4"/>
      <c r="AF28" s="4"/>
      <c r="AG28" s="4"/>
      <c r="AH28" s="4"/>
      <c r="AI28" s="4"/>
      <c r="AJ28" s="4"/>
      <c r="AZ28" s="11"/>
      <c r="BA28" s="2"/>
      <c r="BB28" s="2"/>
      <c r="BC28" s="2"/>
      <c r="BD28" s="2"/>
      <c r="BE28" s="2"/>
      <c r="BF28" s="2"/>
      <c r="BG28" s="2"/>
      <c r="BH28">
        <v>873</v>
      </c>
      <c r="BI28" s="12">
        <f t="shared" si="42"/>
        <v>454.30898745534944</v>
      </c>
      <c r="BJ28" s="12">
        <f t="shared" si="43"/>
        <v>329.69317211936021</v>
      </c>
      <c r="BK28" s="12">
        <f t="shared" si="44"/>
        <v>277.30076053523175</v>
      </c>
      <c r="BL28" s="12">
        <f t="shared" si="45"/>
        <v>252.36776557094117</v>
      </c>
      <c r="BM28" s="12">
        <f t="shared" si="46"/>
        <v>239.8389740045989</v>
      </c>
      <c r="BN28" s="12">
        <f t="shared" si="47"/>
        <v>233.28264971428186</v>
      </c>
      <c r="BO28" s="2"/>
      <c r="BP28" s="2"/>
      <c r="BQ28" s="2"/>
      <c r="BR28" s="2"/>
      <c r="BS28" s="2"/>
      <c r="BT28" s="2"/>
      <c r="BU28" s="2"/>
    </row>
    <row r="29" spans="1:73" x14ac:dyDescent="0.3">
      <c r="D29">
        <v>21</v>
      </c>
      <c r="E29">
        <f t="shared" si="14"/>
        <v>4.0000000000000022E-2</v>
      </c>
      <c r="F29" s="2"/>
      <c r="G29" s="2"/>
      <c r="H29" s="2"/>
      <c r="I29" s="2"/>
      <c r="J29" s="2"/>
      <c r="K29" s="2"/>
      <c r="L29" s="2"/>
      <c r="M29" s="2">
        <v>881.02924102412283</v>
      </c>
      <c r="N29" s="2">
        <v>896.06584437057006</v>
      </c>
      <c r="O29" s="2">
        <v>908.2835986349213</v>
      </c>
      <c r="P29" s="2">
        <v>917.5961533469075</v>
      </c>
      <c r="Q29" s="2">
        <v>924.03945842001008</v>
      </c>
      <c r="R29" s="2">
        <v>927.76561379575992</v>
      </c>
      <c r="S29" s="2">
        <v>929.04312138102023</v>
      </c>
      <c r="T29" s="2"/>
      <c r="U29" s="2"/>
      <c r="V29" s="2"/>
      <c r="W29" s="2"/>
      <c r="X29" s="2"/>
      <c r="Y29" s="2"/>
      <c r="Z29" s="2"/>
      <c r="AA29" s="4"/>
      <c r="AB29" s="4"/>
      <c r="AC29" s="4"/>
      <c r="AD29" s="4"/>
      <c r="AE29" s="4"/>
      <c r="AF29" s="4"/>
      <c r="AG29" s="4"/>
      <c r="AH29" s="4"/>
      <c r="AI29" s="4"/>
      <c r="AJ29" s="4"/>
      <c r="AZ29" s="11"/>
      <c r="BA29" s="2"/>
      <c r="BB29" s="2"/>
      <c r="BC29" s="2"/>
      <c r="BD29" s="2"/>
      <c r="BE29" s="2"/>
      <c r="BF29" s="2"/>
      <c r="BG29" s="2"/>
      <c r="BH29">
        <v>873</v>
      </c>
      <c r="BI29" s="12">
        <f t="shared" si="42"/>
        <v>453.9822532128577</v>
      </c>
      <c r="BJ29" s="12">
        <f t="shared" si="43"/>
        <v>329.02348886122013</v>
      </c>
      <c r="BK29" s="12">
        <f t="shared" si="44"/>
        <v>276.32522012915507</v>
      </c>
      <c r="BL29" s="12">
        <f t="shared" si="45"/>
        <v>251.16612592257638</v>
      </c>
      <c r="BM29" s="12">
        <f t="shared" si="46"/>
        <v>238.52353799500332</v>
      </c>
      <c r="BN29" s="12">
        <f t="shared" si="47"/>
        <v>231.99014624559891</v>
      </c>
      <c r="BO29" s="2"/>
      <c r="BP29" s="2"/>
      <c r="BQ29" s="2"/>
      <c r="BR29" s="2"/>
      <c r="BS29" s="2"/>
      <c r="BT29" s="2"/>
      <c r="BU29" s="2"/>
    </row>
    <row r="30" spans="1:73" x14ac:dyDescent="0.3">
      <c r="D30">
        <v>20</v>
      </c>
      <c r="E30">
        <f t="shared" si="14"/>
        <v>3.800000000000002E-2</v>
      </c>
      <c r="F30" s="2"/>
      <c r="G30" s="2"/>
      <c r="H30" s="2"/>
      <c r="I30" s="2"/>
      <c r="J30" s="2"/>
      <c r="K30" s="2"/>
      <c r="L30" s="2"/>
      <c r="M30" s="2">
        <v>878.05511372373076</v>
      </c>
      <c r="N30" s="2">
        <v>891.70385117063574</v>
      </c>
      <c r="O30" s="2">
        <v>903.1691583901769</v>
      </c>
      <c r="P30" s="2">
        <v>912.33784858241609</v>
      </c>
      <c r="Q30" s="2">
        <v>919.22305916270852</v>
      </c>
      <c r="R30" s="2">
        <v>923.95842825784155</v>
      </c>
      <c r="S30" s="2">
        <v>926.79695287052198</v>
      </c>
      <c r="T30" s="2"/>
      <c r="U30" s="2"/>
      <c r="V30" s="2"/>
      <c r="W30" s="2"/>
      <c r="X30" s="2"/>
      <c r="Y30" s="2"/>
      <c r="Z30" s="2"/>
      <c r="AA30" s="4"/>
      <c r="AB30" s="4"/>
      <c r="AC30" s="4"/>
      <c r="AD30" s="4"/>
      <c r="AE30" s="4"/>
      <c r="AF30" s="4"/>
      <c r="AG30" s="4"/>
      <c r="AH30" s="4"/>
      <c r="AI30" s="4"/>
      <c r="AJ30" s="4"/>
      <c r="AZ30" s="11"/>
      <c r="BA30" s="2"/>
      <c r="BB30" s="2"/>
      <c r="BC30" s="2"/>
      <c r="BD30" s="2"/>
      <c r="BE30" s="2"/>
      <c r="BF30" s="2"/>
      <c r="BG30" s="2"/>
      <c r="BH30">
        <v>873</v>
      </c>
      <c r="BI30" s="12">
        <f t="shared" si="42"/>
        <v>453.75030599658544</v>
      </c>
      <c r="BJ30" s="12">
        <f t="shared" si="43"/>
        <v>328.53640072464924</v>
      </c>
      <c r="BK30" s="12">
        <f t="shared" si="44"/>
        <v>275.60740146364611</v>
      </c>
      <c r="BL30" s="12">
        <f t="shared" si="45"/>
        <v>250.28090266431181</v>
      </c>
      <c r="BM30" s="12">
        <f t="shared" si="46"/>
        <v>237.5641583144041</v>
      </c>
      <c r="BN30" s="12">
        <f t="shared" si="47"/>
        <v>231.07187078971648</v>
      </c>
      <c r="BO30" s="2"/>
      <c r="BP30" s="2"/>
      <c r="BQ30" s="2"/>
      <c r="BR30" s="2"/>
      <c r="BS30" s="2"/>
      <c r="BT30" s="2"/>
      <c r="BU30" s="2"/>
    </row>
    <row r="31" spans="1:73" x14ac:dyDescent="0.3">
      <c r="D31">
        <v>19</v>
      </c>
      <c r="E31">
        <f t="shared" si="14"/>
        <v>3.6000000000000018E-2</v>
      </c>
      <c r="F31" s="2"/>
      <c r="G31" s="2"/>
      <c r="H31" s="2"/>
      <c r="I31" s="2"/>
      <c r="J31" s="2"/>
      <c r="K31" s="2"/>
      <c r="L31" s="2"/>
      <c r="M31" s="2">
        <v>876.159629066045</v>
      </c>
      <c r="N31" s="2">
        <v>888.63428342718828</v>
      </c>
      <c r="O31" s="2">
        <v>899.44530005609136</v>
      </c>
      <c r="P31" s="2">
        <v>908.46854347744443</v>
      </c>
      <c r="Q31" s="2">
        <v>915.70163770784325</v>
      </c>
      <c r="R31" s="2">
        <v>921.2588957703465</v>
      </c>
      <c r="S31" s="2">
        <v>925.3691619855166</v>
      </c>
      <c r="T31" s="2"/>
      <c r="U31" s="2"/>
      <c r="V31" s="2"/>
      <c r="W31" s="2"/>
      <c r="X31" s="2"/>
      <c r="Y31" s="2"/>
      <c r="Z31" s="2"/>
      <c r="AA31" s="4"/>
      <c r="AB31" s="4"/>
      <c r="AC31" s="4"/>
      <c r="AD31" s="4"/>
      <c r="AE31" s="4"/>
      <c r="AF31" s="4"/>
      <c r="AG31" s="4"/>
      <c r="AH31" s="4"/>
      <c r="AI31" s="4"/>
      <c r="AJ31" s="4"/>
      <c r="AZ31" s="11"/>
      <c r="BA31" s="2"/>
      <c r="BB31" s="2"/>
      <c r="BC31" s="2"/>
      <c r="BD31" s="2"/>
      <c r="BE31" s="2"/>
      <c r="BF31" s="2"/>
      <c r="BG31" s="2"/>
      <c r="BH31">
        <v>873</v>
      </c>
      <c r="BI31" s="12">
        <f t="shared" si="42"/>
        <v>453.58657381679961</v>
      </c>
      <c r="BJ31" s="12">
        <f t="shared" si="43"/>
        <v>328.18402736634243</v>
      </c>
      <c r="BK31" s="12">
        <f t="shared" si="44"/>
        <v>275.08215329540258</v>
      </c>
      <c r="BL31" s="12">
        <f t="shared" si="45"/>
        <v>249.63236581262555</v>
      </c>
      <c r="BM31" s="12">
        <f t="shared" si="46"/>
        <v>236.86799024202887</v>
      </c>
      <c r="BN31" s="12">
        <f t="shared" si="47"/>
        <v>230.42242000910326</v>
      </c>
      <c r="BO31" s="2"/>
      <c r="BP31" s="2"/>
      <c r="BQ31" s="2"/>
      <c r="BR31" s="2"/>
      <c r="BS31" s="2"/>
      <c r="BT31" s="2"/>
      <c r="BU31" s="2"/>
    </row>
    <row r="32" spans="1:73" x14ac:dyDescent="0.3">
      <c r="D32">
        <v>18</v>
      </c>
      <c r="E32">
        <f t="shared" si="14"/>
        <v>3.4000000000000016E-2</v>
      </c>
      <c r="F32" s="2"/>
      <c r="G32" s="2"/>
      <c r="H32" s="2"/>
      <c r="I32" s="2"/>
      <c r="J32" s="2"/>
      <c r="K32" s="2"/>
      <c r="L32" s="2"/>
      <c r="M32" s="2">
        <v>874.96275462668348</v>
      </c>
      <c r="N32" s="2">
        <v>886.47721871249337</v>
      </c>
      <c r="O32" s="2">
        <v>896.74097677273869</v>
      </c>
      <c r="P32" s="2">
        <v>905.63049200405453</v>
      </c>
      <c r="Q32" s="2">
        <v>913.13387608711378</v>
      </c>
      <c r="R32" s="2">
        <v>919.34677282776067</v>
      </c>
      <c r="S32" s="2">
        <v>924.46955686798174</v>
      </c>
      <c r="T32" s="2"/>
      <c r="U32" s="2"/>
      <c r="V32" s="2"/>
      <c r="W32" s="2"/>
      <c r="X32" s="2"/>
      <c r="Y32" s="2"/>
      <c r="Z32" s="2"/>
      <c r="AA32" s="4"/>
      <c r="AB32" s="4"/>
      <c r="AC32" s="4"/>
      <c r="AD32" s="4"/>
      <c r="AE32" s="4"/>
      <c r="AF32" s="4"/>
      <c r="AG32" s="4"/>
      <c r="AH32" s="4"/>
      <c r="AI32" s="4"/>
      <c r="AJ32" s="4"/>
      <c r="AZ32" s="11"/>
      <c r="BA32" s="2"/>
      <c r="BB32" s="2"/>
      <c r="BC32" s="2"/>
      <c r="BD32" s="2"/>
      <c r="BE32" s="2"/>
      <c r="BF32" s="2"/>
      <c r="BG32" s="2"/>
      <c r="BH32">
        <v>873</v>
      </c>
      <c r="BI32" s="12">
        <f t="shared" si="42"/>
        <v>453.47135423836414</v>
      </c>
      <c r="BJ32" s="12">
        <f t="shared" si="43"/>
        <v>327.92996383503623</v>
      </c>
      <c r="BK32" s="12">
        <f t="shared" si="44"/>
        <v>274.69925328694836</v>
      </c>
      <c r="BL32" s="12">
        <f t="shared" si="45"/>
        <v>249.15901025480406</v>
      </c>
      <c r="BM32" s="12">
        <f t="shared" si="46"/>
        <v>236.36442177713235</v>
      </c>
      <c r="BN32" s="12">
        <f t="shared" si="47"/>
        <v>229.96409447065989</v>
      </c>
      <c r="BO32" s="2"/>
      <c r="BP32" s="2"/>
      <c r="BQ32" s="2"/>
      <c r="BR32" s="2"/>
      <c r="BS32" s="2"/>
      <c r="BT32" s="2"/>
      <c r="BU32" s="2"/>
    </row>
    <row r="33" spans="4:73" x14ac:dyDescent="0.3">
      <c r="D33">
        <v>17</v>
      </c>
      <c r="E33">
        <f t="shared" si="14"/>
        <v>3.2000000000000015E-2</v>
      </c>
      <c r="F33" s="2"/>
      <c r="G33" s="2"/>
      <c r="H33" s="2"/>
      <c r="I33" s="2"/>
      <c r="J33" s="2"/>
      <c r="K33" s="2"/>
      <c r="L33" s="2">
        <v>782.45540794569547</v>
      </c>
      <c r="M33" s="2">
        <v>875.3777115117224</v>
      </c>
      <c r="N33" s="2">
        <v>885.72648110491082</v>
      </c>
      <c r="O33" s="2">
        <v>895.19415948094047</v>
      </c>
      <c r="P33" s="2">
        <v>903.64284256070039</v>
      </c>
      <c r="Q33" s="2">
        <v>911.03487855012861</v>
      </c>
      <c r="R33" s="2">
        <v>917.42840586464797</v>
      </c>
      <c r="S33" s="2">
        <v>922.97292533577047</v>
      </c>
      <c r="T33" s="2">
        <v>825.97257093940527</v>
      </c>
      <c r="U33" s="2"/>
      <c r="V33" s="2"/>
      <c r="W33" s="2"/>
      <c r="X33" s="2"/>
      <c r="Y33" s="2"/>
      <c r="Z33" s="2"/>
      <c r="AA33" s="4"/>
      <c r="AB33" s="4"/>
      <c r="AC33" s="4"/>
      <c r="AD33" s="4"/>
      <c r="AE33" s="4"/>
      <c r="AF33" s="4"/>
      <c r="AG33" s="4"/>
      <c r="AH33" s="4"/>
      <c r="AI33" s="4"/>
      <c r="AJ33" s="4"/>
      <c r="AZ33" s="11"/>
      <c r="BA33" s="2"/>
      <c r="BB33" s="2"/>
      <c r="BC33" s="2"/>
      <c r="BD33" s="2"/>
      <c r="BE33" s="2"/>
      <c r="BF33" s="2"/>
      <c r="BG33" s="2"/>
      <c r="BH33">
        <v>873</v>
      </c>
      <c r="BI33" s="12">
        <f t="shared" si="42"/>
        <v>453.39038645792806</v>
      </c>
      <c r="BJ33" s="12">
        <f t="shared" si="43"/>
        <v>327.74715394149365</v>
      </c>
      <c r="BK33" s="12">
        <f t="shared" si="44"/>
        <v>274.42084302691489</v>
      </c>
      <c r="BL33" s="12">
        <f t="shared" si="45"/>
        <v>248.8144188800263</v>
      </c>
      <c r="BM33" s="12">
        <f t="shared" si="46"/>
        <v>236.00088408950347</v>
      </c>
      <c r="BN33" s="12">
        <f t="shared" si="47"/>
        <v>229.64084311985172</v>
      </c>
      <c r="BO33" s="2"/>
      <c r="BP33" s="2"/>
      <c r="BQ33" s="2"/>
      <c r="BR33" s="2"/>
      <c r="BS33" s="2"/>
      <c r="BT33" s="2"/>
      <c r="BU33" s="2"/>
    </row>
    <row r="34" spans="4:73" x14ac:dyDescent="0.3">
      <c r="D34">
        <v>16</v>
      </c>
      <c r="E34">
        <f t="shared" si="14"/>
        <v>3.0000000000000013E-2</v>
      </c>
      <c r="F34" s="2"/>
      <c r="G34" s="2"/>
      <c r="H34" s="2"/>
      <c r="I34" s="2"/>
      <c r="J34" s="2"/>
      <c r="K34" s="2">
        <v>705.63259420180066</v>
      </c>
      <c r="L34" s="2">
        <v>767.67897485353592</v>
      </c>
      <c r="M34" s="2">
        <v>875.83237850850981</v>
      </c>
      <c r="N34" s="2">
        <v>885.04935387515206</v>
      </c>
      <c r="O34" s="2">
        <v>893.6423570208251</v>
      </c>
      <c r="P34" s="2">
        <v>901.45814424308674</v>
      </c>
      <c r="Q34" s="2">
        <v>908.4281984212347</v>
      </c>
      <c r="R34" s="2">
        <v>914.56364623393165</v>
      </c>
      <c r="S34" s="2">
        <v>919.94904933775501</v>
      </c>
      <c r="T34" s="2">
        <v>808.73665146060171</v>
      </c>
      <c r="U34" s="2">
        <v>744.36411198711926</v>
      </c>
      <c r="V34" s="2"/>
      <c r="W34" s="2"/>
      <c r="X34" s="2"/>
      <c r="Y34" s="2"/>
      <c r="Z34" s="2"/>
      <c r="AA34" s="4"/>
      <c r="AB34" s="4"/>
      <c r="AC34" s="4"/>
      <c r="AD34" s="4"/>
      <c r="AE34" s="4"/>
      <c r="AF34" s="4"/>
      <c r="AG34" s="4"/>
      <c r="AH34" s="4"/>
      <c r="AI34" s="4"/>
      <c r="AJ34" s="4"/>
      <c r="AZ34" s="11"/>
      <c r="BA34" s="2"/>
      <c r="BB34" s="2"/>
      <c r="BC34" s="2"/>
      <c r="BD34" s="2"/>
      <c r="BE34" s="2"/>
      <c r="BF34" s="2"/>
      <c r="BG34">
        <v>873</v>
      </c>
      <c r="BH34" s="12">
        <f t="shared" si="42"/>
        <v>452.97375433008392</v>
      </c>
      <c r="BI34" s="12">
        <f t="shared" si="42"/>
        <v>326.94818831027868</v>
      </c>
      <c r="BJ34" s="12">
        <f t="shared" si="43"/>
        <v>273.30975897269491</v>
      </c>
      <c r="BK34" s="12">
        <f t="shared" si="44"/>
        <v>247.48169073322606</v>
      </c>
      <c r="BL34" s="12">
        <f t="shared" si="45"/>
        <v>234.54223599711909</v>
      </c>
      <c r="BM34" s="12">
        <f t="shared" si="46"/>
        <v>228.14434216799816</v>
      </c>
      <c r="BN34" s="12">
        <f t="shared" si="47"/>
        <v>225.21289080334759</v>
      </c>
      <c r="BO34" s="12">
        <f t="shared" ref="BO34:BO35" si="48">(BN34*$C$17-AR72)/($C$16-$C$17*BN72)</f>
        <v>218.16207057073433</v>
      </c>
      <c r="BP34" s="2"/>
      <c r="BQ34" s="2"/>
      <c r="BR34" s="2"/>
      <c r="BS34" s="2"/>
      <c r="BT34" s="2"/>
      <c r="BU34" s="2"/>
    </row>
    <row r="35" spans="4:73" x14ac:dyDescent="0.3">
      <c r="D35">
        <v>15</v>
      </c>
      <c r="E35">
        <f t="shared" si="14"/>
        <v>2.8000000000000011E-2</v>
      </c>
      <c r="F35" s="2"/>
      <c r="G35" s="2"/>
      <c r="H35" s="2"/>
      <c r="I35" s="2"/>
      <c r="J35" s="2">
        <v>654.77960677440694</v>
      </c>
      <c r="K35" s="2">
        <v>708.1683513345879</v>
      </c>
      <c r="L35" s="2">
        <v>779.75110528548419</v>
      </c>
      <c r="M35" s="2">
        <v>874.7737949264332</v>
      </c>
      <c r="N35" s="2">
        <v>883.13246937412293</v>
      </c>
      <c r="O35" s="2">
        <v>890.95952188723015</v>
      </c>
      <c r="P35" s="2">
        <v>898.09779410346687</v>
      </c>
      <c r="Q35" s="2">
        <v>904.45387447519784</v>
      </c>
      <c r="R35" s="2">
        <v>909.99292916537343</v>
      </c>
      <c r="S35" s="2">
        <v>914.73129433941131</v>
      </c>
      <c r="T35" s="2">
        <v>818.90900314880628</v>
      </c>
      <c r="U35" s="2">
        <v>745.95980639538698</v>
      </c>
      <c r="V35" s="2">
        <v>690.53398895190458</v>
      </c>
      <c r="W35" s="2"/>
      <c r="X35" s="2"/>
      <c r="Y35" s="2"/>
      <c r="Z35" s="2"/>
      <c r="AA35" s="4"/>
      <c r="AB35" s="4"/>
      <c r="AC35" s="4"/>
      <c r="AD35" s="4"/>
      <c r="AE35" s="4"/>
      <c r="AF35" s="4"/>
      <c r="AG35" s="4"/>
      <c r="AH35" s="4"/>
      <c r="AI35" s="4"/>
      <c r="AJ35" s="4"/>
      <c r="AZ35" s="11"/>
      <c r="BA35" s="2"/>
      <c r="BB35" s="2"/>
      <c r="BC35" s="2"/>
      <c r="BD35" s="2"/>
      <c r="BE35" s="2"/>
      <c r="BF35">
        <v>873</v>
      </c>
      <c r="BG35" s="12">
        <f t="shared" si="42"/>
        <v>448.93116459989216</v>
      </c>
      <c r="BH35" s="12">
        <f t="shared" si="42"/>
        <v>323.93314192068345</v>
      </c>
      <c r="BI35" s="12">
        <f t="shared" si="42"/>
        <v>270.68783325992695</v>
      </c>
      <c r="BJ35" s="12">
        <f t="shared" si="43"/>
        <v>245.03277090625176</v>
      </c>
      <c r="BK35" s="12">
        <f t="shared" si="44"/>
        <v>232.18909650178773</v>
      </c>
      <c r="BL35" s="12">
        <f t="shared" si="45"/>
        <v>225.86726696067575</v>
      </c>
      <c r="BM35" s="12">
        <f t="shared" si="46"/>
        <v>223.01205960867378</v>
      </c>
      <c r="BN35" s="12">
        <f t="shared" si="47"/>
        <v>222.02559417450269</v>
      </c>
      <c r="BO35" s="12">
        <f t="shared" si="48"/>
        <v>215.2110751409696</v>
      </c>
      <c r="BP35" s="12">
        <f t="shared" ref="BP35" si="49">(BO35*$C$17-AS73)/($C$16-$C$17*BO73)</f>
        <v>206.52990123371481</v>
      </c>
      <c r="BQ35" s="2"/>
      <c r="BR35" s="2"/>
      <c r="BS35" s="2"/>
      <c r="BT35" s="2"/>
      <c r="BU35" s="2"/>
    </row>
    <row r="36" spans="4:73" x14ac:dyDescent="0.3">
      <c r="D36">
        <v>14</v>
      </c>
      <c r="E36">
        <f t="shared" si="14"/>
        <v>2.6000000000000009E-2</v>
      </c>
      <c r="F36" s="2"/>
      <c r="G36" s="2"/>
      <c r="H36" s="2"/>
      <c r="I36" s="2">
        <v>676.28813319654159</v>
      </c>
      <c r="J36" s="2">
        <v>796.32995848889777</v>
      </c>
      <c r="K36" s="2">
        <v>829.43885914945406</v>
      </c>
      <c r="L36" s="2">
        <v>870.61321122339018</v>
      </c>
      <c r="M36" s="2">
        <v>928.99381196713671</v>
      </c>
      <c r="N36" s="2">
        <v>923.85538244313648</v>
      </c>
      <c r="O36" s="2">
        <v>920.96663774854278</v>
      </c>
      <c r="P36" s="2">
        <v>919.53158318302076</v>
      </c>
      <c r="Q36" s="2">
        <v>918.93434041699686</v>
      </c>
      <c r="R36" s="2">
        <v>918.7020951256759</v>
      </c>
      <c r="S36" s="2">
        <v>918.47178996012417</v>
      </c>
      <c r="T36" s="2">
        <v>841.45065009778318</v>
      </c>
      <c r="U36" s="2">
        <v>776.41746477935794</v>
      </c>
      <c r="V36" s="2">
        <v>712.11920365547508</v>
      </c>
      <c r="W36" s="2">
        <v>658.30017864564161</v>
      </c>
      <c r="X36" s="2"/>
      <c r="Y36" s="2"/>
      <c r="Z36" s="2"/>
      <c r="AA36" s="4"/>
      <c r="AB36" s="4"/>
      <c r="AC36" s="4"/>
      <c r="AD36" s="4"/>
      <c r="AE36" s="4"/>
      <c r="AF36" s="4"/>
      <c r="AG36" s="4"/>
      <c r="AH36" s="4"/>
      <c r="AI36" s="4"/>
      <c r="AJ36" s="4"/>
      <c r="AZ36" s="11"/>
      <c r="BA36" s="2"/>
      <c r="BB36" s="2"/>
      <c r="BC36" s="2"/>
      <c r="BD36" s="2"/>
      <c r="BE36">
        <v>873</v>
      </c>
      <c r="BF36" s="12">
        <f t="shared" si="42"/>
        <v>446.69736833690945</v>
      </c>
      <c r="BG36" s="12">
        <f t="shared" si="42"/>
        <v>317.84075073240763</v>
      </c>
      <c r="BH36" s="12">
        <f t="shared" si="42"/>
        <v>265.93911192761209</v>
      </c>
      <c r="BI36" s="12">
        <f t="shared" si="42"/>
        <v>241.02426478390365</v>
      </c>
      <c r="BJ36" s="12">
        <f t="shared" si="43"/>
        <v>228.63469106886998</v>
      </c>
      <c r="BK36" s="12">
        <f t="shared" si="44"/>
        <v>222.61753047244639</v>
      </c>
      <c r="BL36" s="12">
        <f t="shared" si="45"/>
        <v>219.98184589596835</v>
      </c>
      <c r="BM36" s="12">
        <f t="shared" si="46"/>
        <v>219.15823812579583</v>
      </c>
      <c r="BN36" s="12">
        <f t="shared" si="47"/>
        <v>219.2873982340264</v>
      </c>
      <c r="BO36" s="12">
        <f t="shared" ref="BO36" si="50">(BN36*$C$17-AR74)/($C$16-$C$17*BN74)</f>
        <v>214.00507229563277</v>
      </c>
      <c r="BP36" s="12">
        <f t="shared" ref="BP36" si="51">(BO36*$C$17-AS74)/($C$16-$C$17*BO74)</f>
        <v>205.85645011452925</v>
      </c>
      <c r="BQ36" s="12">
        <f t="shared" ref="BQ36" si="52">(BP36*$C$17-AT74)/($C$16-$C$17*BP74)</f>
        <v>196.50262854708936</v>
      </c>
      <c r="BR36" s="2"/>
      <c r="BS36" s="2"/>
      <c r="BT36" s="2"/>
      <c r="BU36" s="2"/>
    </row>
    <row r="37" spans="4:73" x14ac:dyDescent="0.3">
      <c r="D37">
        <v>13</v>
      </c>
      <c r="E37">
        <f t="shared" si="14"/>
        <v>2.4000000000000007E-2</v>
      </c>
      <c r="F37" s="2"/>
      <c r="G37" s="2"/>
      <c r="H37" s="2"/>
      <c r="I37" s="2">
        <v>718.78038256696209</v>
      </c>
      <c r="J37" s="2">
        <v>858.1610044254337</v>
      </c>
      <c r="K37" s="2">
        <v>879.96100939336657</v>
      </c>
      <c r="L37" s="2">
        <v>905.1093725806619</v>
      </c>
      <c r="M37" s="2">
        <v>942.1582099224164</v>
      </c>
      <c r="N37" s="2">
        <v>934.22353403009311</v>
      </c>
      <c r="O37" s="2">
        <v>928.66647151727875</v>
      </c>
      <c r="P37" s="2">
        <v>924.72874023523718</v>
      </c>
      <c r="Q37" s="2">
        <v>921.79356155502251</v>
      </c>
      <c r="R37" s="2">
        <v>919.35815292587415</v>
      </c>
      <c r="S37" s="2">
        <v>917.00723173425285</v>
      </c>
      <c r="T37" s="2">
        <v>859.36427838575287</v>
      </c>
      <c r="U37" s="2">
        <v>808.5052514630645</v>
      </c>
      <c r="V37" s="2">
        <v>753.94264994428818</v>
      </c>
      <c r="W37" s="2">
        <v>695.17801606529599</v>
      </c>
      <c r="X37" s="2"/>
      <c r="Y37" s="2"/>
      <c r="Z37" s="2"/>
      <c r="AA37" s="4"/>
      <c r="AB37" s="4"/>
      <c r="AC37" s="4"/>
      <c r="AD37" s="4"/>
      <c r="AE37" s="4"/>
      <c r="AF37" s="4"/>
      <c r="AG37" s="4"/>
      <c r="AH37" s="4"/>
      <c r="AI37" s="4"/>
      <c r="AJ37" s="4"/>
      <c r="AZ37" s="11"/>
      <c r="BA37" s="2"/>
      <c r="BB37" s="2"/>
      <c r="BC37" s="2"/>
      <c r="BD37">
        <v>873</v>
      </c>
      <c r="BE37">
        <v>873</v>
      </c>
      <c r="BF37" s="12">
        <f t="shared" si="42"/>
        <v>587.24636508490448</v>
      </c>
      <c r="BG37" s="12">
        <f t="shared" si="42"/>
        <v>451.29049887901567</v>
      </c>
      <c r="BH37" s="12">
        <f t="shared" si="42"/>
        <v>377.02540456980239</v>
      </c>
      <c r="BI37" s="12">
        <f t="shared" si="42"/>
        <v>330.66135010237463</v>
      </c>
      <c r="BJ37" s="12">
        <f t="shared" si="43"/>
        <v>299.98974283838845</v>
      </c>
      <c r="BK37" s="12">
        <f t="shared" si="44"/>
        <v>278.92202700956005</v>
      </c>
      <c r="BL37" s="12">
        <f t="shared" si="45"/>
        <v>264.0785558710117</v>
      </c>
      <c r="BM37" s="12">
        <f t="shared" si="46"/>
        <v>253.42897936816536</v>
      </c>
      <c r="BN37" s="12">
        <f t="shared" si="47"/>
        <v>245.67741339502822</v>
      </c>
      <c r="BO37" s="12">
        <f t="shared" ref="BO37:BO40" si="53">(BN37*$C$17-AR75)/($C$16-$C$17*BN75)</f>
        <v>235.44326535310847</v>
      </c>
      <c r="BP37" s="12">
        <f t="shared" ref="BP37:BP40" si="54">(BO37*$C$17-AS75)/($C$16-$C$17*BO75)</f>
        <v>223.95639697037259</v>
      </c>
      <c r="BQ37" s="12">
        <f t="shared" ref="BQ37:BQ40" si="55">(BP37*$C$17-AT75)/($C$16-$C$17*BP75)</f>
        <v>211.51931596371875</v>
      </c>
      <c r="BR37" s="12">
        <f t="shared" ref="BR37:BR40" si="56">(BQ37*$C$17-AU75)/($C$16-$C$17*BQ75)</f>
        <v>198.95651205257764</v>
      </c>
      <c r="BS37" s="2"/>
      <c r="BT37" s="2"/>
      <c r="BU37" s="2"/>
    </row>
    <row r="38" spans="4:73" x14ac:dyDescent="0.3">
      <c r="D38">
        <v>12</v>
      </c>
      <c r="E38">
        <f t="shared" si="14"/>
        <v>2.2000000000000006E-2</v>
      </c>
      <c r="F38" s="2"/>
      <c r="G38" s="2"/>
      <c r="H38" s="2"/>
      <c r="I38" s="2">
        <v>760.59876281965035</v>
      </c>
      <c r="J38" s="2">
        <v>882.89841284368833</v>
      </c>
      <c r="K38" s="2">
        <v>898.56232515964007</v>
      </c>
      <c r="L38" s="2">
        <v>915.28992341864432</v>
      </c>
      <c r="M38" s="2">
        <v>939.7769491999295</v>
      </c>
      <c r="N38" s="2">
        <v>933.02303491308362</v>
      </c>
      <c r="O38" s="2">
        <v>927.91668598828346</v>
      </c>
      <c r="P38" s="2">
        <v>923.94632277628432</v>
      </c>
      <c r="Q38" s="2">
        <v>920.66841120215724</v>
      </c>
      <c r="R38" s="2">
        <v>917.69917428181498</v>
      </c>
      <c r="S38" s="2">
        <v>914.70350802549774</v>
      </c>
      <c r="T38" s="2">
        <v>873.3780694485115</v>
      </c>
      <c r="U38" s="2">
        <v>836.32333602130802</v>
      </c>
      <c r="V38" s="2">
        <v>795.70708750736219</v>
      </c>
      <c r="W38" s="2">
        <v>748.36180782516931</v>
      </c>
      <c r="X38" s="2"/>
      <c r="Y38" s="2"/>
      <c r="Z38" s="2"/>
      <c r="AA38" s="4"/>
      <c r="AB38" s="4"/>
      <c r="AC38" s="4"/>
      <c r="AD38" s="4"/>
      <c r="AE38" s="4"/>
      <c r="AF38" s="4"/>
      <c r="AG38" s="4"/>
      <c r="AH38" s="4"/>
      <c r="AI38" s="4"/>
      <c r="AJ38" s="4"/>
      <c r="AZ38" s="11"/>
      <c r="BA38" s="2"/>
      <c r="BB38" s="2"/>
      <c r="BC38" s="2"/>
      <c r="BD38">
        <v>873</v>
      </c>
      <c r="BE38" s="12">
        <f t="shared" si="42"/>
        <v>452.32750642212886</v>
      </c>
      <c r="BF38" s="12">
        <f t="shared" si="42"/>
        <v>326.26183019830063</v>
      </c>
      <c r="BG38" s="12">
        <f t="shared" si="42"/>
        <v>273.36970690536566</v>
      </c>
      <c r="BH38" s="12">
        <f t="shared" si="42"/>
        <v>249.6874313715833</v>
      </c>
      <c r="BI38" s="12">
        <f t="shared" si="42"/>
        <v>237.49807295426461</v>
      </c>
      <c r="BJ38" s="12">
        <f t="shared" si="43"/>
        <v>231.00071931876317</v>
      </c>
      <c r="BK38" s="12">
        <f t="shared" si="44"/>
        <v>227.45899305569768</v>
      </c>
      <c r="BL38" s="12">
        <f t="shared" si="45"/>
        <v>225.48348648698862</v>
      </c>
      <c r="BM38" s="12">
        <f t="shared" si="46"/>
        <v>224.3343870044373</v>
      </c>
      <c r="BN38" s="12">
        <f t="shared" si="47"/>
        <v>223.6023090574582</v>
      </c>
      <c r="BO38" s="12">
        <f t="shared" si="53"/>
        <v>219.80467468246152</v>
      </c>
      <c r="BP38" s="12">
        <f t="shared" si="54"/>
        <v>214.0178979756931</v>
      </c>
      <c r="BQ38" s="12">
        <f t="shared" si="55"/>
        <v>206.46689542912807</v>
      </c>
      <c r="BR38" s="12">
        <f t="shared" si="56"/>
        <v>197.30959664963399</v>
      </c>
      <c r="BS38" s="2"/>
      <c r="BT38" s="2"/>
      <c r="BU38" s="2"/>
    </row>
    <row r="39" spans="4:73" x14ac:dyDescent="0.3">
      <c r="D39">
        <v>11</v>
      </c>
      <c r="E39">
        <f t="shared" si="14"/>
        <v>2.0000000000000004E-2</v>
      </c>
      <c r="F39" s="2"/>
      <c r="G39" s="2"/>
      <c r="H39" s="2">
        <v>710.32750924009474</v>
      </c>
      <c r="I39" s="2">
        <v>795.05252963683517</v>
      </c>
      <c r="J39" s="2">
        <v>891.20019016596461</v>
      </c>
      <c r="K39" s="2">
        <v>903.4004809742446</v>
      </c>
      <c r="L39" s="2">
        <v>915.54322136959672</v>
      </c>
      <c r="M39" s="2">
        <v>932.42932850242914</v>
      </c>
      <c r="N39" s="2">
        <v>927.84126100422168</v>
      </c>
      <c r="O39" s="2">
        <v>924.06192182054019</v>
      </c>
      <c r="P39" s="2">
        <v>920.82678029304225</v>
      </c>
      <c r="Q39" s="2">
        <v>917.87739271098133</v>
      </c>
      <c r="R39" s="2">
        <v>914.96833923709642</v>
      </c>
      <c r="S39" s="2">
        <v>911.86901823964422</v>
      </c>
      <c r="T39" s="2">
        <v>882.83592828285282</v>
      </c>
      <c r="U39" s="2">
        <v>856.71438538683537</v>
      </c>
      <c r="V39" s="2">
        <v>828.30318987778719</v>
      </c>
      <c r="W39" s="2">
        <v>794.5383344445346</v>
      </c>
      <c r="X39" s="2">
        <v>712.85229524616102</v>
      </c>
      <c r="Y39" s="2"/>
      <c r="Z39" s="2"/>
      <c r="AA39" s="4"/>
      <c r="AB39" s="4"/>
      <c r="AC39" s="4"/>
      <c r="AD39" s="4"/>
      <c r="AE39" s="4"/>
      <c r="AF39" s="4"/>
      <c r="AG39" s="4"/>
      <c r="AH39" s="4"/>
      <c r="AI39" s="4"/>
      <c r="AJ39" s="4"/>
      <c r="AZ39" s="11"/>
      <c r="BA39" s="2"/>
      <c r="BB39" s="2"/>
      <c r="BC39" s="2"/>
      <c r="BD39">
        <v>873</v>
      </c>
      <c r="BE39" s="12">
        <f t="shared" si="42"/>
        <v>453.25605207016736</v>
      </c>
      <c r="BF39" s="12">
        <f t="shared" si="42"/>
        <v>327.7519954627378</v>
      </c>
      <c r="BG39" s="12">
        <f t="shared" si="42"/>
        <v>274.9431678252156</v>
      </c>
      <c r="BH39" s="12">
        <f t="shared" si="42"/>
        <v>250.68639013885797</v>
      </c>
      <c r="BI39" s="12">
        <f t="shared" si="42"/>
        <v>238.16465841088464</v>
      </c>
      <c r="BJ39" s="12">
        <f t="shared" si="43"/>
        <v>231.4539513490368</v>
      </c>
      <c r="BK39" s="12">
        <f t="shared" si="44"/>
        <v>227.75329033802552</v>
      </c>
      <c r="BL39" s="12">
        <f t="shared" si="45"/>
        <v>225.63905346162392</v>
      </c>
      <c r="BM39" s="12">
        <f t="shared" si="46"/>
        <v>224.35413871087178</v>
      </c>
      <c r="BN39" s="12">
        <f t="shared" si="47"/>
        <v>223.48143243592992</v>
      </c>
      <c r="BO39" s="12">
        <f t="shared" si="53"/>
        <v>220.53994599247986</v>
      </c>
      <c r="BP39" s="12">
        <f t="shared" si="54"/>
        <v>216.21588197385805</v>
      </c>
      <c r="BQ39" s="12">
        <f t="shared" si="55"/>
        <v>210.59555347914031</v>
      </c>
      <c r="BR39" s="12">
        <f t="shared" si="56"/>
        <v>203.57422290650638</v>
      </c>
      <c r="BS39" s="2"/>
      <c r="BT39" s="2"/>
      <c r="BU39" s="2"/>
    </row>
    <row r="40" spans="4:73" x14ac:dyDescent="0.3">
      <c r="D40">
        <v>10</v>
      </c>
      <c r="E40">
        <f t="shared" si="14"/>
        <v>1.8000000000000002E-2</v>
      </c>
      <c r="F40" s="2"/>
      <c r="G40" s="2"/>
      <c r="H40" s="2">
        <v>722.88251733916297</v>
      </c>
      <c r="I40" s="2">
        <v>821.09097239153289</v>
      </c>
      <c r="J40" s="2">
        <v>892.64989191080588</v>
      </c>
      <c r="K40" s="2">
        <v>902.75600929991731</v>
      </c>
      <c r="L40" s="2">
        <v>912.2763868234789</v>
      </c>
      <c r="M40" s="2">
        <v>924.47118923707342</v>
      </c>
      <c r="N40" s="2">
        <v>921.97336411599645</v>
      </c>
      <c r="O40" s="2">
        <v>919.61924363426215</v>
      </c>
      <c r="P40" s="2">
        <v>917.33066110306481</v>
      </c>
      <c r="Q40" s="2">
        <v>914.99857480840137</v>
      </c>
      <c r="R40" s="2">
        <v>912.49857868534491</v>
      </c>
      <c r="S40" s="2">
        <v>909.70080915987535</v>
      </c>
      <c r="T40" s="2">
        <v>889.67845299010673</v>
      </c>
      <c r="U40" s="2">
        <v>871.78632143185382</v>
      </c>
      <c r="V40" s="2">
        <v>852.87463694207941</v>
      </c>
      <c r="W40" s="2">
        <v>830.75631218979606</v>
      </c>
      <c r="X40" s="2">
        <v>738.83851597755393</v>
      </c>
      <c r="Y40" s="2"/>
      <c r="Z40" s="2"/>
      <c r="AA40" s="4"/>
      <c r="AB40" s="4"/>
      <c r="AC40" s="4"/>
      <c r="AD40" s="4"/>
      <c r="AE40" s="4"/>
      <c r="AF40" s="4"/>
      <c r="AG40" s="4"/>
      <c r="AH40" s="4"/>
      <c r="AI40" s="4"/>
      <c r="AJ40" s="4"/>
      <c r="AZ40" s="11"/>
      <c r="BA40" s="2"/>
      <c r="BB40" s="2"/>
      <c r="BC40">
        <v>873</v>
      </c>
      <c r="BD40" s="12">
        <f t="shared" si="42"/>
        <v>449.95866088145965</v>
      </c>
      <c r="BE40" s="12">
        <f t="shared" si="42"/>
        <v>325.32732412275681</v>
      </c>
      <c r="BF40" s="12">
        <f t="shared" si="42"/>
        <v>272.63417345864548</v>
      </c>
      <c r="BG40" s="12">
        <f t="shared" si="42"/>
        <v>247.66355775391952</v>
      </c>
      <c r="BH40" s="12">
        <f t="shared" si="42"/>
        <v>235.90485475199787</v>
      </c>
      <c r="BI40" s="12">
        <f t="shared" si="42"/>
        <v>229.76528477865224</v>
      </c>
      <c r="BJ40" s="12">
        <f t="shared" si="43"/>
        <v>226.49293334386698</v>
      </c>
      <c r="BK40" s="12">
        <f t="shared" si="44"/>
        <v>224.69903013876919</v>
      </c>
      <c r="BL40" s="12">
        <f t="shared" si="45"/>
        <v>223.65506174781723</v>
      </c>
      <c r="BM40" s="12">
        <f t="shared" si="46"/>
        <v>222.96870405220366</v>
      </c>
      <c r="BN40" s="12">
        <f t="shared" si="47"/>
        <v>222.42279716086176</v>
      </c>
      <c r="BO40" s="12">
        <f t="shared" si="53"/>
        <v>220.38537665459572</v>
      </c>
      <c r="BP40" s="12">
        <f t="shared" si="54"/>
        <v>217.3520705486653</v>
      </c>
      <c r="BQ40" s="12">
        <f t="shared" si="55"/>
        <v>213.40746440132398</v>
      </c>
      <c r="BR40" s="12">
        <f t="shared" si="56"/>
        <v>208.44421565825368</v>
      </c>
      <c r="BS40" s="12">
        <f t="shared" ref="BS40:BS42" si="57">(BR40*$C$17-AV78)/($C$16-$C$17*BR78)</f>
        <v>199.87320859065915</v>
      </c>
      <c r="BT40" s="2"/>
      <c r="BU40" s="2"/>
    </row>
    <row r="41" spans="4:73" x14ac:dyDescent="0.3">
      <c r="D41">
        <v>9</v>
      </c>
      <c r="E41">
        <f t="shared" si="14"/>
        <v>1.6E-2</v>
      </c>
      <c r="F41" s="2"/>
      <c r="G41" s="2">
        <v>679.92248197589731</v>
      </c>
      <c r="H41" s="2">
        <v>753.26145617237637</v>
      </c>
      <c r="I41" s="2">
        <v>839.1442241616835</v>
      </c>
      <c r="J41" s="2">
        <v>891.01440413041519</v>
      </c>
      <c r="K41" s="2">
        <v>899.799069671805</v>
      </c>
      <c r="L41" s="2">
        <v>907.75548861630034</v>
      </c>
      <c r="M41" s="2">
        <v>917.01440833377387</v>
      </c>
      <c r="N41" s="2">
        <v>916.20067174377459</v>
      </c>
      <c r="O41" s="2">
        <v>915.06666900083121</v>
      </c>
      <c r="P41" s="2">
        <v>913.65130006486413</v>
      </c>
      <c r="Q41" s="2">
        <v>911.94606763540105</v>
      </c>
      <c r="R41" s="2">
        <v>909.9132111132933</v>
      </c>
      <c r="S41" s="2">
        <v>907.49893636113052</v>
      </c>
      <c r="T41" s="2">
        <v>893.7611301813979</v>
      </c>
      <c r="U41" s="2">
        <v>881.59551718703244</v>
      </c>
      <c r="V41" s="2">
        <v>869.25255313098171</v>
      </c>
      <c r="W41" s="2">
        <v>855.40362455272134</v>
      </c>
      <c r="X41" s="2">
        <v>777.67966239500697</v>
      </c>
      <c r="Y41" s="2">
        <v>702.44735261378867</v>
      </c>
      <c r="Z41" s="2"/>
      <c r="AA41" s="4"/>
      <c r="AB41" s="4"/>
      <c r="AC41" s="4"/>
      <c r="AD41" s="4"/>
      <c r="AE41" s="4"/>
      <c r="AF41" s="4"/>
      <c r="AG41" s="4"/>
      <c r="AH41" s="4"/>
      <c r="AI41" s="4"/>
      <c r="AJ41" s="4"/>
      <c r="AZ41" s="11"/>
      <c r="BA41" s="2"/>
      <c r="BB41" s="2"/>
      <c r="BC41">
        <v>873</v>
      </c>
      <c r="BD41" s="12">
        <f t="shared" si="42"/>
        <v>450.93604227456188</v>
      </c>
      <c r="BE41" s="12">
        <f t="shared" si="42"/>
        <v>326.01023992370619</v>
      </c>
      <c r="BF41" s="12">
        <f t="shared" si="42"/>
        <v>273.06996031134486</v>
      </c>
      <c r="BG41" s="12">
        <f t="shared" si="42"/>
        <v>247.7938325829472</v>
      </c>
      <c r="BH41" s="12">
        <f t="shared" si="42"/>
        <v>235.54372986282181</v>
      </c>
      <c r="BI41" s="12">
        <f t="shared" si="42"/>
        <v>229.15499946212825</v>
      </c>
      <c r="BJ41" s="12">
        <f t="shared" si="43"/>
        <v>225.77496972085865</v>
      </c>
      <c r="BK41" s="12">
        <f t="shared" si="44"/>
        <v>223.95284325422594</v>
      </c>
      <c r="BL41" s="12">
        <f t="shared" si="45"/>
        <v>222.92230942838876</v>
      </c>
      <c r="BM41" s="12">
        <f t="shared" si="46"/>
        <v>222.26932093156151</v>
      </c>
      <c r="BN41" s="12">
        <f t="shared" si="47"/>
        <v>221.76595056829089</v>
      </c>
      <c r="BO41" s="12">
        <f t="shared" ref="BO40:BO42" si="58">(BN41*$C$17-AR79)/($C$16-$C$17*BN79)</f>
        <v>220.29221679092998</v>
      </c>
      <c r="BP41" s="12">
        <f t="shared" ref="BP40:BP42" si="59">(BO41*$C$17-AS79)/($C$16-$C$17*BO79)</f>
        <v>218.1712402731095</v>
      </c>
      <c r="BQ41" s="12">
        <f t="shared" ref="BQ40:BQ42" si="60">(BP41*$C$17-AT79)/($C$16-$C$17*BP79)</f>
        <v>215.47807183375647</v>
      </c>
      <c r="BR41" s="12">
        <f t="shared" ref="BR40:BR42" si="61">(BQ41*$C$17-AU79)/($C$16-$C$17*BQ79)</f>
        <v>212.14984472926821</v>
      </c>
      <c r="BS41" s="12">
        <f t="shared" si="57"/>
        <v>204.21253205892512</v>
      </c>
      <c r="BT41" s="2"/>
      <c r="BU41" s="2"/>
    </row>
    <row r="42" spans="4:73" x14ac:dyDescent="0.3">
      <c r="D42">
        <v>8</v>
      </c>
      <c r="E42">
        <f t="shared" si="14"/>
        <v>1.4E-2</v>
      </c>
      <c r="F42" s="2">
        <v>642.04226267999593</v>
      </c>
      <c r="G42" s="2">
        <v>698.15091326662446</v>
      </c>
      <c r="H42" s="2">
        <v>782.70633550199068</v>
      </c>
      <c r="I42" s="2">
        <v>850.22174497752235</v>
      </c>
      <c r="J42" s="2">
        <v>887.63574114442304</v>
      </c>
      <c r="K42" s="2">
        <v>895.62910278790309</v>
      </c>
      <c r="L42" s="2">
        <v>902.67234136544198</v>
      </c>
      <c r="M42" s="2">
        <v>910.12051571823076</v>
      </c>
      <c r="N42" s="2">
        <v>910.59140211671547</v>
      </c>
      <c r="O42" s="2">
        <v>910.43614972292266</v>
      </c>
      <c r="P42" s="2">
        <v>909.75655502758764</v>
      </c>
      <c r="Q42" s="2">
        <v>908.60348640679877</v>
      </c>
      <c r="R42" s="2">
        <v>906.99382523420775</v>
      </c>
      <c r="S42" s="2">
        <v>904.92367391083371</v>
      </c>
      <c r="T42" s="2">
        <v>895.41558812907169</v>
      </c>
      <c r="U42" s="2">
        <v>887.0121297371785</v>
      </c>
      <c r="V42" s="2">
        <v>878.83533611543567</v>
      </c>
      <c r="W42" s="2">
        <v>870.1767949246364</v>
      </c>
      <c r="X42" s="2">
        <v>811.39663829957169</v>
      </c>
      <c r="Y42" s="2">
        <v>726.13708433667068</v>
      </c>
      <c r="Z42" s="2">
        <v>668.25771106972434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Z42" s="11"/>
      <c r="BA42" s="2"/>
      <c r="BB42">
        <v>873</v>
      </c>
      <c r="BC42" s="12">
        <f t="shared" si="42"/>
        <v>448.3899872865473</v>
      </c>
      <c r="BD42" s="12">
        <f t="shared" si="42"/>
        <v>321.80205383904314</v>
      </c>
      <c r="BE42" s="12">
        <f t="shared" si="42"/>
        <v>269.54036887798276</v>
      </c>
      <c r="BF42" s="12">
        <f t="shared" si="42"/>
        <v>244.55245441494196</v>
      </c>
      <c r="BG42" s="12">
        <f t="shared" si="42"/>
        <v>232.19710475438598</v>
      </c>
      <c r="BH42" s="12">
        <f t="shared" si="42"/>
        <v>226.37239610074332</v>
      </c>
      <c r="BI42" s="12">
        <f t="shared" si="42"/>
        <v>223.4869058976295</v>
      </c>
      <c r="BJ42" s="12">
        <f t="shared" si="43"/>
        <v>222.09641250811521</v>
      </c>
      <c r="BK42" s="12">
        <f t="shared" si="44"/>
        <v>221.44167108162151</v>
      </c>
      <c r="BL42" s="12">
        <f t="shared" si="45"/>
        <v>221.11773101676042</v>
      </c>
      <c r="BM42" s="12">
        <f t="shared" si="46"/>
        <v>220.90753633773201</v>
      </c>
      <c r="BN42" s="12">
        <f t="shared" si="47"/>
        <v>220.69441266834937</v>
      </c>
      <c r="BO42" s="12">
        <f t="shared" si="58"/>
        <v>219.77274657269487</v>
      </c>
      <c r="BP42" s="12">
        <f t="shared" si="59"/>
        <v>218.38577410520068</v>
      </c>
      <c r="BQ42" s="12">
        <f t="shared" si="60"/>
        <v>216.62360489599428</v>
      </c>
      <c r="BR42" s="12">
        <f t="shared" si="61"/>
        <v>214.48135098327413</v>
      </c>
      <c r="BS42" s="12">
        <f t="shared" si="57"/>
        <v>208.27582660214048</v>
      </c>
      <c r="BT42" s="12">
        <f t="shared" ref="BT42:BT49" si="62">(BS42*$C$17-AW80)/($C$16-$C$17*BS80)</f>
        <v>199.13912976997958</v>
      </c>
      <c r="BU42" s="2"/>
    </row>
    <row r="43" spans="4:73" x14ac:dyDescent="0.3">
      <c r="D43">
        <v>7</v>
      </c>
      <c r="E43">
        <f t="shared" si="14"/>
        <v>1.2E-2</v>
      </c>
      <c r="F43" s="2">
        <v>670.98195993561637</v>
      </c>
      <c r="G43" s="2">
        <v>733.96449112489881</v>
      </c>
      <c r="H43" s="2">
        <v>807.20364660567327</v>
      </c>
      <c r="I43" s="2">
        <v>857.45352925768805</v>
      </c>
      <c r="J43" s="2">
        <v>884.48595729907186</v>
      </c>
      <c r="K43" s="2">
        <v>891.80597102624631</v>
      </c>
      <c r="L43" s="2">
        <v>898.16950814828556</v>
      </c>
      <c r="M43" s="2">
        <v>904.41082793144926</v>
      </c>
      <c r="N43" s="2">
        <v>905.76917367799263</v>
      </c>
      <c r="O43" s="2">
        <v>906.34907129178214</v>
      </c>
      <c r="P43" s="2">
        <v>906.27659526840375</v>
      </c>
      <c r="Q43" s="2">
        <v>905.63297106201014</v>
      </c>
      <c r="R43" s="2">
        <v>904.46848123930886</v>
      </c>
      <c r="S43" s="2">
        <v>902.8140151505097</v>
      </c>
      <c r="T43" s="2">
        <v>896.27950196540451</v>
      </c>
      <c r="U43" s="2">
        <v>890.50837656362637</v>
      </c>
      <c r="V43" s="2">
        <v>885.14073906544502</v>
      </c>
      <c r="W43" s="2">
        <v>879.87320473939803</v>
      </c>
      <c r="X43" s="2">
        <v>838.29430786941691</v>
      </c>
      <c r="Y43" s="2">
        <v>766.22962460579811</v>
      </c>
      <c r="Z43" s="2">
        <v>702.69686682077315</v>
      </c>
      <c r="AA43" s="4"/>
      <c r="AB43" s="4"/>
      <c r="AC43" s="4"/>
      <c r="AD43" s="4"/>
      <c r="AE43" s="4"/>
      <c r="AF43" s="4"/>
      <c r="AG43" s="4"/>
      <c r="AH43" s="4"/>
      <c r="AI43" s="4"/>
      <c r="AJ43" s="4"/>
      <c r="AZ43" s="11"/>
      <c r="BA43">
        <v>873</v>
      </c>
      <c r="BB43" s="12">
        <f t="shared" si="42"/>
        <v>446.32135285601385</v>
      </c>
      <c r="BC43" s="12">
        <f t="shared" ref="BC43:BC50" si="63">(BB43*$C$17-AF81)/($C$16-$C$17*BB81)</f>
        <v>317.74962445745837</v>
      </c>
      <c r="BD43" s="12">
        <f t="shared" ref="BD43:BD50" si="64">(BC43*$C$17-AG81)/($C$16-$C$17*BC81)</f>
        <v>264.5571887649827</v>
      </c>
      <c r="BE43" s="12">
        <f t="shared" ref="BE43:BE50" si="65">(BD43*$C$17-AH81)/($C$16-$C$17*BD81)</f>
        <v>240.28233349909411</v>
      </c>
      <c r="BF43" s="12">
        <f t="shared" ref="BF43:BF50" si="66">(BE43*$C$17-AI81)/($C$16-$C$17*BE81)</f>
        <v>228.35658827437183</v>
      </c>
      <c r="BG43" s="12">
        <f t="shared" ref="BG43:BG50" si="67">(BF43*$C$17-AJ81)/($C$16-$C$17*BF81)</f>
        <v>222.67619618924164</v>
      </c>
      <c r="BH43" s="12">
        <f t="shared" ref="BH43:BH50" si="68">(BG43*$C$17-AK81)/($C$16-$C$17*BG81)</f>
        <v>220.35752838744673</v>
      </c>
      <c r="BI43" s="12">
        <f t="shared" ref="BI43:BI50" si="69">(BH43*$C$17-AL81)/($C$16-$C$17*BH81)</f>
        <v>219.47637121211807</v>
      </c>
      <c r="BJ43" s="12">
        <f t="shared" si="43"/>
        <v>219.27465029847372</v>
      </c>
      <c r="BK43" s="12">
        <f t="shared" si="44"/>
        <v>219.35089394409016</v>
      </c>
      <c r="BL43" s="12">
        <f t="shared" si="45"/>
        <v>219.49402045461235</v>
      </c>
      <c r="BM43" s="12">
        <f t="shared" si="46"/>
        <v>219.59513800496424</v>
      </c>
      <c r="BN43" s="12">
        <f t="shared" si="47"/>
        <v>219.59975111739587</v>
      </c>
      <c r="BO43" s="12">
        <f t="shared" ref="BO42:BO49" si="70">(BN43*$C$17-AR81)/($C$16-$C$17*BN81)</f>
        <v>219.07072077127921</v>
      </c>
      <c r="BP43" s="12">
        <f t="shared" ref="BP42:BP49" si="71">(BO43*$C$17-AS81)/($C$16-$C$17*BO81)</f>
        <v>218.19059454907995</v>
      </c>
      <c r="BQ43" s="12">
        <f t="shared" ref="BQ42:BQ49" si="72">(BP43*$C$17-AT81)/($C$16-$C$17*BP81)</f>
        <v>217.05098063788103</v>
      </c>
      <c r="BR43" s="12">
        <f t="shared" ref="BR42:BR49" si="73">(BQ43*$C$17-AU81)/($C$16-$C$17*BQ81)</f>
        <v>215.68242885902615</v>
      </c>
      <c r="BS43" s="12">
        <f t="shared" ref="BS42:BS49" si="74">(BR43*$C$17-AV81)/($C$16-$C$17*BR81)</f>
        <v>211.17880346976702</v>
      </c>
      <c r="BT43" s="12">
        <f t="shared" si="62"/>
        <v>202.73706578393853</v>
      </c>
      <c r="BU43" s="12">
        <f t="shared" ref="BU43:BU50" si="75">(BT43*$C$17-AX81)/($C$16-$C$17*BT81)</f>
        <v>192.93005773715535</v>
      </c>
    </row>
    <row r="44" spans="4:73" x14ac:dyDescent="0.3">
      <c r="D44">
        <v>6</v>
      </c>
      <c r="E44">
        <f t="shared" si="14"/>
        <v>0.01</v>
      </c>
      <c r="F44" s="2">
        <v>716.89384015334076</v>
      </c>
      <c r="G44" s="2">
        <v>769.68896504255326</v>
      </c>
      <c r="H44" s="2">
        <v>826.21980026907886</v>
      </c>
      <c r="I44" s="2">
        <v>862.50160576870064</v>
      </c>
      <c r="J44" s="2">
        <v>882.15897920570524</v>
      </c>
      <c r="K44" s="2">
        <v>888.80105135806707</v>
      </c>
      <c r="L44" s="2">
        <v>894.56314318658519</v>
      </c>
      <c r="M44" s="2">
        <v>899.93586318945938</v>
      </c>
      <c r="N44" s="2">
        <v>901.85967182541185</v>
      </c>
      <c r="O44" s="2">
        <v>902.96908170529025</v>
      </c>
      <c r="P44" s="2">
        <v>903.39041500071016</v>
      </c>
      <c r="Q44" s="2">
        <v>903.21625238454499</v>
      </c>
      <c r="R44" s="2">
        <v>902.5157734961831</v>
      </c>
      <c r="S44" s="2">
        <v>901.3440250066908</v>
      </c>
      <c r="T44" s="2">
        <v>896.97867838697675</v>
      </c>
      <c r="U44" s="2">
        <v>893.1486526510422</v>
      </c>
      <c r="V44" s="2">
        <v>889.78670593488016</v>
      </c>
      <c r="W44" s="2">
        <v>886.8340003833905</v>
      </c>
      <c r="X44" s="2">
        <v>858.87331588887139</v>
      </c>
      <c r="Y44" s="2">
        <v>805.19701559835676</v>
      </c>
      <c r="Z44" s="2">
        <v>753.7200503762781</v>
      </c>
      <c r="AA44" s="4"/>
      <c r="AB44" s="4"/>
      <c r="AC44" s="4"/>
      <c r="AD44" s="4"/>
      <c r="AE44" s="4"/>
      <c r="AF44" s="4"/>
      <c r="AG44" s="4"/>
      <c r="AH44" s="4"/>
      <c r="AI44" s="4"/>
      <c r="AJ44" s="4"/>
      <c r="AZ44" s="11"/>
      <c r="BA44">
        <v>873</v>
      </c>
      <c r="BB44" s="12">
        <f t="shared" si="42"/>
        <v>447.66565462355248</v>
      </c>
      <c r="BC44" s="12">
        <f t="shared" si="63"/>
        <v>319.78817479128799</v>
      </c>
      <c r="BD44" s="12">
        <f t="shared" si="64"/>
        <v>266.34996056874832</v>
      </c>
      <c r="BE44" s="12">
        <f t="shared" si="65"/>
        <v>241.39601270476726</v>
      </c>
      <c r="BF44" s="12">
        <f t="shared" si="66"/>
        <v>228.95702107802268</v>
      </c>
      <c r="BG44" s="12">
        <f t="shared" si="67"/>
        <v>222.86193927414334</v>
      </c>
      <c r="BH44" s="12">
        <f t="shared" si="68"/>
        <v>220.16272319643377</v>
      </c>
      <c r="BI44" s="12">
        <f t="shared" si="69"/>
        <v>219.04632780166574</v>
      </c>
      <c r="BJ44" s="12">
        <f t="shared" si="43"/>
        <v>218.70939701058444</v>
      </c>
      <c r="BK44" s="12">
        <f t="shared" si="44"/>
        <v>218.71855010613891</v>
      </c>
      <c r="BL44" s="12">
        <f t="shared" si="45"/>
        <v>218.84054648864165</v>
      </c>
      <c r="BM44" s="12">
        <f t="shared" si="46"/>
        <v>218.95168721594752</v>
      </c>
      <c r="BN44" s="12">
        <f t="shared" si="47"/>
        <v>218.98827543416706</v>
      </c>
      <c r="BO44" s="12">
        <f t="shared" si="70"/>
        <v>218.65891388699961</v>
      </c>
      <c r="BP44" s="12">
        <f t="shared" si="71"/>
        <v>218.08530600048729</v>
      </c>
      <c r="BQ44" s="12">
        <f t="shared" si="72"/>
        <v>217.34357118647418</v>
      </c>
      <c r="BR44" s="12">
        <f t="shared" si="73"/>
        <v>216.47643341972724</v>
      </c>
      <c r="BS44" s="12">
        <f t="shared" si="74"/>
        <v>213.36803858424943</v>
      </c>
      <c r="BT44" s="12">
        <f t="shared" si="62"/>
        <v>206.76160543985046</v>
      </c>
      <c r="BU44" s="12">
        <f t="shared" si="75"/>
        <v>198.01013270560446</v>
      </c>
    </row>
    <row r="45" spans="4:73" x14ac:dyDescent="0.3">
      <c r="D45">
        <v>5</v>
      </c>
      <c r="E45">
        <f t="shared" si="14"/>
        <v>8.0000000000000002E-3</v>
      </c>
      <c r="F45" s="2">
        <v>760.18605600413161</v>
      </c>
      <c r="G45" s="2">
        <v>799.37857637106958</v>
      </c>
      <c r="H45" s="2">
        <v>840.4463942428963</v>
      </c>
      <c r="I45" s="2">
        <v>866.23187476151895</v>
      </c>
      <c r="J45" s="2">
        <v>880.67665004265314</v>
      </c>
      <c r="K45" s="2">
        <v>886.63311021244954</v>
      </c>
      <c r="L45" s="2">
        <v>891.83220321454166</v>
      </c>
      <c r="M45" s="2">
        <v>896.54187015046728</v>
      </c>
      <c r="N45" s="2">
        <v>898.79705079003224</v>
      </c>
      <c r="O45" s="2">
        <v>900.27751569194834</v>
      </c>
      <c r="P45" s="2">
        <v>901.09700032485352</v>
      </c>
      <c r="Q45" s="2">
        <v>901.34790668322557</v>
      </c>
      <c r="R45" s="2">
        <v>901.10829668765518</v>
      </c>
      <c r="S45" s="2">
        <v>900.44881655705876</v>
      </c>
      <c r="T45" s="2">
        <v>897.71012369975131</v>
      </c>
      <c r="U45" s="2">
        <v>895.36355887165121</v>
      </c>
      <c r="V45" s="2">
        <v>893.49575211081378</v>
      </c>
      <c r="W45" s="2">
        <v>892.18327325291625</v>
      </c>
      <c r="X45" s="2">
        <v>874.27047257928098</v>
      </c>
      <c r="Y45" s="2">
        <v>837.29930575690366</v>
      </c>
      <c r="Z45" s="2">
        <v>801.0761137917616</v>
      </c>
      <c r="AA45" s="4"/>
      <c r="AB45" s="4"/>
      <c r="AC45" s="4"/>
      <c r="AD45" s="4"/>
      <c r="AE45" s="4"/>
      <c r="AF45" s="4"/>
      <c r="AG45" s="4"/>
      <c r="AH45" s="4"/>
      <c r="AI45" s="4"/>
      <c r="AJ45" s="4"/>
      <c r="AZ45" s="11"/>
      <c r="BA45">
        <v>873</v>
      </c>
      <c r="BB45" s="12">
        <f t="shared" si="42"/>
        <v>449.00661177734315</v>
      </c>
      <c r="BC45" s="12">
        <f t="shared" si="63"/>
        <v>321.55688324350211</v>
      </c>
      <c r="BD45" s="12">
        <f t="shared" si="64"/>
        <v>267.83952889604154</v>
      </c>
      <c r="BE45" s="12">
        <f t="shared" si="65"/>
        <v>242.3376288840166</v>
      </c>
      <c r="BF45" s="12">
        <f t="shared" si="66"/>
        <v>229.47775512531834</v>
      </c>
      <c r="BG45" s="12">
        <f t="shared" si="67"/>
        <v>223.04039740708282</v>
      </c>
      <c r="BH45" s="12">
        <f t="shared" si="68"/>
        <v>220.03471842966295</v>
      </c>
      <c r="BI45" s="12">
        <f t="shared" si="69"/>
        <v>218.72022372887722</v>
      </c>
      <c r="BJ45" s="12">
        <f t="shared" si="43"/>
        <v>218.26423341387047</v>
      </c>
      <c r="BK45" s="12">
        <f t="shared" si="44"/>
        <v>218.2119694971766</v>
      </c>
      <c r="BL45" s="12">
        <f t="shared" si="45"/>
        <v>218.31485599726489</v>
      </c>
      <c r="BM45" s="12">
        <f t="shared" si="46"/>
        <v>218.43871136000539</v>
      </c>
      <c r="BN45" s="12">
        <f t="shared" si="47"/>
        <v>218.51329819161563</v>
      </c>
      <c r="BO45" s="12">
        <f t="shared" si="70"/>
        <v>218.34069343077272</v>
      </c>
      <c r="BP45" s="12">
        <f t="shared" si="71"/>
        <v>218.00031882605515</v>
      </c>
      <c r="BQ45" s="12">
        <f t="shared" si="72"/>
        <v>217.55355100321992</v>
      </c>
      <c r="BR45" s="12">
        <f t="shared" si="73"/>
        <v>217.04638042293664</v>
      </c>
      <c r="BS45" s="12">
        <f t="shared" si="74"/>
        <v>215.01457691659499</v>
      </c>
      <c r="BT45" s="12">
        <f t="shared" si="62"/>
        <v>210.30888990066452</v>
      </c>
      <c r="BU45" s="12">
        <f t="shared" si="75"/>
        <v>203.70814649077474</v>
      </c>
    </row>
    <row r="46" spans="4:73" x14ac:dyDescent="0.3">
      <c r="D46">
        <v>4</v>
      </c>
      <c r="E46">
        <f t="shared" si="14"/>
        <v>6.0000000000000001E-3</v>
      </c>
      <c r="F46" s="2">
        <v>794.82808761809792</v>
      </c>
      <c r="G46" s="2">
        <v>822.04602055174541</v>
      </c>
      <c r="H46" s="2">
        <v>850.86666451237306</v>
      </c>
      <c r="I46" s="2">
        <v>869.09826537402864</v>
      </c>
      <c r="J46" s="2">
        <v>879.86760917319316</v>
      </c>
      <c r="K46" s="2">
        <v>885.163073694692</v>
      </c>
      <c r="L46" s="2">
        <v>889.84003924076001</v>
      </c>
      <c r="M46" s="2">
        <v>894.02556628940499</v>
      </c>
      <c r="N46" s="2">
        <v>896.45459194754176</v>
      </c>
      <c r="O46" s="2">
        <v>898.19070748024831</v>
      </c>
      <c r="P46" s="2">
        <v>899.32978262019765</v>
      </c>
      <c r="Q46" s="2">
        <v>899.95769494580759</v>
      </c>
      <c r="R46" s="2">
        <v>900.15454285995224</v>
      </c>
      <c r="S46" s="2">
        <v>899.99944811216574</v>
      </c>
      <c r="T46" s="2">
        <v>898.50305309369787</v>
      </c>
      <c r="U46" s="2">
        <v>897.3125923443514</v>
      </c>
      <c r="V46" s="2">
        <v>896.58575843402355</v>
      </c>
      <c r="W46" s="2">
        <v>896.46462016274381</v>
      </c>
      <c r="X46" s="2">
        <v>885.65218370526486</v>
      </c>
      <c r="Y46" s="2">
        <v>861.74554765307084</v>
      </c>
      <c r="Z46" s="2">
        <v>838.70401357154424</v>
      </c>
      <c r="AZ46" s="11"/>
      <c r="BA46">
        <v>873</v>
      </c>
      <c r="BB46" s="12">
        <f t="shared" si="42"/>
        <v>450.12104377138758</v>
      </c>
      <c r="BC46" s="12">
        <f t="shared" si="63"/>
        <v>322.94976327344602</v>
      </c>
      <c r="BD46" s="12">
        <f t="shared" si="64"/>
        <v>268.99941073028725</v>
      </c>
      <c r="BE46" s="12">
        <f t="shared" si="65"/>
        <v>243.08934457567008</v>
      </c>
      <c r="BF46" s="12">
        <f t="shared" si="66"/>
        <v>229.90673450372293</v>
      </c>
      <c r="BG46" s="12">
        <f t="shared" si="67"/>
        <v>223.20136169641776</v>
      </c>
      <c r="BH46" s="12">
        <f t="shared" si="68"/>
        <v>219.95685477493907</v>
      </c>
      <c r="BI46" s="12">
        <f t="shared" si="69"/>
        <v>218.48164232345022</v>
      </c>
      <c r="BJ46" s="12">
        <f t="shared" si="43"/>
        <v>217.92566852965851</v>
      </c>
      <c r="BK46" s="12">
        <f t="shared" si="44"/>
        <v>217.82089629474538</v>
      </c>
      <c r="BL46" s="12">
        <f t="shared" si="45"/>
        <v>217.90887258218379</v>
      </c>
      <c r="BM46" s="12">
        <f t="shared" si="46"/>
        <v>218.04848251828938</v>
      </c>
      <c r="BN46" s="12">
        <f t="shared" si="47"/>
        <v>218.16514094600583</v>
      </c>
      <c r="BO46" s="12">
        <f t="shared" si="70"/>
        <v>218.12036452792432</v>
      </c>
      <c r="BP46" s="12">
        <f t="shared" si="71"/>
        <v>217.96431457534621</v>
      </c>
      <c r="BQ46" s="12">
        <f t="shared" si="72"/>
        <v>217.74529039926657</v>
      </c>
      <c r="BR46" s="12">
        <f t="shared" si="73"/>
        <v>217.50736829433654</v>
      </c>
      <c r="BS46" s="12">
        <f t="shared" si="74"/>
        <v>216.27267022989588</v>
      </c>
      <c r="BT46" s="12">
        <f t="shared" si="62"/>
        <v>213.15676742467787</v>
      </c>
      <c r="BU46" s="12">
        <f t="shared" si="75"/>
        <v>208.66017985303901</v>
      </c>
    </row>
    <row r="47" spans="4:73" x14ac:dyDescent="0.3">
      <c r="D47">
        <v>3</v>
      </c>
      <c r="E47">
        <f t="shared" si="14"/>
        <v>4.0000000000000001E-3</v>
      </c>
      <c r="F47" s="2">
        <v>820.3734607259039</v>
      </c>
      <c r="G47" s="2">
        <v>838.54209753236546</v>
      </c>
      <c r="H47" s="2">
        <v>858.40366141998288</v>
      </c>
      <c r="I47" s="2">
        <v>871.34927592354848</v>
      </c>
      <c r="J47" s="2">
        <v>879.53067151726032</v>
      </c>
      <c r="K47" s="2">
        <v>884.22169608062188</v>
      </c>
      <c r="L47" s="2">
        <v>888.4292852385347</v>
      </c>
      <c r="M47" s="2">
        <v>892.19439647541549</v>
      </c>
      <c r="N47" s="2">
        <v>894.69829036244346</v>
      </c>
      <c r="O47" s="2">
        <v>896.60921751150568</v>
      </c>
      <c r="P47" s="2">
        <v>898.00445601916022</v>
      </c>
      <c r="Q47" s="2">
        <v>898.96040119778002</v>
      </c>
      <c r="R47" s="2">
        <v>899.55466089364722</v>
      </c>
      <c r="S47" s="2">
        <v>899.86907868196499</v>
      </c>
      <c r="T47" s="2">
        <v>899.33142563154729</v>
      </c>
      <c r="U47" s="2">
        <v>899.04859545140255</v>
      </c>
      <c r="V47" s="2">
        <v>899.20166732704001</v>
      </c>
      <c r="W47" s="2">
        <v>899.95567629639231</v>
      </c>
      <c r="X47" s="2">
        <v>894.01331903750747</v>
      </c>
      <c r="Y47" s="2">
        <v>879.54967527851409</v>
      </c>
      <c r="Z47" s="2">
        <v>866.34089089032352</v>
      </c>
      <c r="AZ47" s="11"/>
      <c r="BA47">
        <v>873</v>
      </c>
      <c r="BB47" s="12">
        <f t="shared" si="42"/>
        <v>450.97189105054673</v>
      </c>
      <c r="BC47" s="12">
        <f t="shared" si="63"/>
        <v>323.99163555047414</v>
      </c>
      <c r="BD47" s="12">
        <f t="shared" si="64"/>
        <v>269.87109239209963</v>
      </c>
      <c r="BE47" s="12">
        <f t="shared" si="65"/>
        <v>243.67140223425051</v>
      </c>
      <c r="BF47" s="12">
        <f t="shared" si="66"/>
        <v>230.25087650805764</v>
      </c>
      <c r="BG47" s="12">
        <f t="shared" si="67"/>
        <v>223.3420436486189</v>
      </c>
      <c r="BH47" s="12">
        <f t="shared" si="68"/>
        <v>219.91514195656873</v>
      </c>
      <c r="BI47" s="12">
        <f t="shared" si="69"/>
        <v>218.31260093323283</v>
      </c>
      <c r="BJ47" s="12">
        <f t="shared" si="43"/>
        <v>217.67520222511067</v>
      </c>
      <c r="BK47" s="12">
        <f t="shared" si="44"/>
        <v>217.52742447106655</v>
      </c>
      <c r="BL47" s="12">
        <f t="shared" si="45"/>
        <v>217.60491048560013</v>
      </c>
      <c r="BM47" s="12">
        <f t="shared" si="46"/>
        <v>217.76221933116099</v>
      </c>
      <c r="BN47" s="12">
        <f t="shared" si="47"/>
        <v>217.92197926558629</v>
      </c>
      <c r="BO47" s="12">
        <f t="shared" si="70"/>
        <v>217.98313362226247</v>
      </c>
      <c r="BP47" s="12">
        <f t="shared" si="71"/>
        <v>217.97551236019578</v>
      </c>
      <c r="BQ47" s="12">
        <f t="shared" si="72"/>
        <v>217.9362099506767</v>
      </c>
      <c r="BR47" s="12">
        <f t="shared" si="73"/>
        <v>217.90468044706063</v>
      </c>
      <c r="BS47" s="12">
        <f t="shared" si="74"/>
        <v>217.24546843125438</v>
      </c>
      <c r="BT47" s="12">
        <f t="shared" si="62"/>
        <v>215.33662008917122</v>
      </c>
      <c r="BU47" s="12">
        <f t="shared" si="75"/>
        <v>212.53210838372249</v>
      </c>
    </row>
    <row r="48" spans="4:73" x14ac:dyDescent="0.3">
      <c r="D48">
        <v>2</v>
      </c>
      <c r="E48">
        <f>E49+$E$3</f>
        <v>2E-3</v>
      </c>
      <c r="F48" s="2">
        <v>838.30895278927369</v>
      </c>
      <c r="G48" s="2">
        <v>850.19332049955688</v>
      </c>
      <c r="H48" s="2">
        <v>863.81476642360826</v>
      </c>
      <c r="I48" s="2">
        <v>873.13326374522183</v>
      </c>
      <c r="J48" s="2">
        <v>879.49500482697067</v>
      </c>
      <c r="K48" s="2">
        <v>883.65834216198209</v>
      </c>
      <c r="L48" s="2">
        <v>887.4582731125065</v>
      </c>
      <c r="M48" s="2">
        <v>890.88588819453548</v>
      </c>
      <c r="N48" s="2">
        <v>893.4069956022422</v>
      </c>
      <c r="O48" s="2">
        <v>895.437715609213</v>
      </c>
      <c r="P48" s="2">
        <v>897.03840748730522</v>
      </c>
      <c r="Q48" s="2">
        <v>898.27510422441651</v>
      </c>
      <c r="R48" s="2">
        <v>899.22011097008772</v>
      </c>
      <c r="S48" s="2">
        <v>899.95361961469359</v>
      </c>
      <c r="T48" s="2">
        <v>900.15932856392897</v>
      </c>
      <c r="U48" s="2">
        <v>900.58862947363787</v>
      </c>
      <c r="V48" s="2">
        <v>901.41988721632026</v>
      </c>
      <c r="W48" s="2">
        <v>902.8167123816097</v>
      </c>
      <c r="X48" s="2">
        <v>900.13907203748477</v>
      </c>
      <c r="Y48" s="2">
        <v>892.16466002987409</v>
      </c>
      <c r="Z48" s="2">
        <v>885.69519741002284</v>
      </c>
      <c r="AZ48" s="11"/>
      <c r="BA48">
        <v>873</v>
      </c>
      <c r="BB48" s="12">
        <f t="shared" si="42"/>
        <v>451.59108932027169</v>
      </c>
      <c r="BC48" s="12">
        <f t="shared" si="63"/>
        <v>324.74759007460966</v>
      </c>
      <c r="BD48" s="12">
        <f t="shared" si="64"/>
        <v>270.5127614094668</v>
      </c>
      <c r="BE48" s="12">
        <f t="shared" si="65"/>
        <v>244.11439215566267</v>
      </c>
      <c r="BF48" s="12">
        <f t="shared" si="66"/>
        <v>230.52298472475823</v>
      </c>
      <c r="BG48" s="12">
        <f t="shared" si="67"/>
        <v>223.46283756619994</v>
      </c>
      <c r="BH48" s="12">
        <f t="shared" si="68"/>
        <v>219.89860583122814</v>
      </c>
      <c r="BI48" s="12">
        <f t="shared" si="69"/>
        <v>218.19696064119185</v>
      </c>
      <c r="BJ48" s="12">
        <f t="shared" si="43"/>
        <v>217.49479737280186</v>
      </c>
      <c r="BK48" s="12">
        <f t="shared" si="44"/>
        <v>217.31295231381449</v>
      </c>
      <c r="BL48" s="12">
        <f t="shared" si="45"/>
        <v>217.38387429699492</v>
      </c>
      <c r="BM48" s="12">
        <f t="shared" si="46"/>
        <v>217.55958152616989</v>
      </c>
      <c r="BN48" s="12">
        <f t="shared" si="47"/>
        <v>217.76093297628248</v>
      </c>
      <c r="BO48" s="12">
        <f t="shared" si="70"/>
        <v>217.91014599327232</v>
      </c>
      <c r="BP48" s="12">
        <f t="shared" si="71"/>
        <v>218.02276033416297</v>
      </c>
      <c r="BQ48" s="12">
        <f t="shared" si="72"/>
        <v>218.12642597407461</v>
      </c>
      <c r="BR48" s="12">
        <f t="shared" si="73"/>
        <v>218.25479775020801</v>
      </c>
      <c r="BS48" s="12">
        <f t="shared" si="74"/>
        <v>218.00418976884504</v>
      </c>
      <c r="BT48" s="12">
        <f t="shared" si="62"/>
        <v>216.96222841744668</v>
      </c>
      <c r="BU48" s="12">
        <f t="shared" si="75"/>
        <v>215.39454323317705</v>
      </c>
    </row>
    <row r="49" spans="3:73" ht="11.4" customHeight="1" x14ac:dyDescent="0.3">
      <c r="D49">
        <v>1</v>
      </c>
      <c r="E49">
        <v>0</v>
      </c>
      <c r="F49" s="2">
        <v>850.49565333730061</v>
      </c>
      <c r="G49" s="2">
        <v>858.26245043992662</v>
      </c>
      <c r="H49" s="2">
        <v>867.68347085996061</v>
      </c>
      <c r="I49" s="2">
        <v>874.54947107909857</v>
      </c>
      <c r="J49" s="2">
        <v>879.63435287003153</v>
      </c>
      <c r="K49" s="2">
        <v>883.35451297633472</v>
      </c>
      <c r="L49" s="2">
        <v>886.8115540516078</v>
      </c>
      <c r="M49" s="2">
        <v>889.97023321014694</v>
      </c>
      <c r="N49" s="2">
        <v>892.47832143426831</v>
      </c>
      <c r="O49" s="2">
        <v>894.59220467800992</v>
      </c>
      <c r="P49" s="2">
        <v>896.35799977365036</v>
      </c>
      <c r="Q49" s="2">
        <v>897.83167866232634</v>
      </c>
      <c r="R49" s="2">
        <v>899.07868705599049</v>
      </c>
      <c r="S49" s="2">
        <v>900.17449977285969</v>
      </c>
      <c r="T49" s="2">
        <v>900.95692376026602</v>
      </c>
      <c r="U49" s="2">
        <v>901.9419920701597</v>
      </c>
      <c r="V49" s="2">
        <v>903.29223766644122</v>
      </c>
      <c r="W49" s="2">
        <v>905.15704445803158</v>
      </c>
      <c r="X49" s="2">
        <v>904.62542010215066</v>
      </c>
      <c r="Y49" s="2">
        <v>900.94751603080385</v>
      </c>
      <c r="Z49" s="2">
        <v>898.82248493111194</v>
      </c>
      <c r="AZ49" s="11"/>
      <c r="BA49">
        <v>873</v>
      </c>
      <c r="BB49" s="12">
        <f t="shared" si="42"/>
        <v>452.02843070210076</v>
      </c>
      <c r="BC49" s="12">
        <f t="shared" si="63"/>
        <v>325.28580698980778</v>
      </c>
      <c r="BD49" s="12">
        <f t="shared" si="64"/>
        <v>270.97935344085619</v>
      </c>
      <c r="BE49" s="12">
        <f t="shared" si="65"/>
        <v>244.44826803321632</v>
      </c>
      <c r="BF49" s="12">
        <f t="shared" si="66"/>
        <v>230.73646283636842</v>
      </c>
      <c r="BG49" s="12">
        <f t="shared" si="67"/>
        <v>223.56549761784549</v>
      </c>
      <c r="BH49" s="12">
        <f t="shared" si="68"/>
        <v>219.89905335554053</v>
      </c>
      <c r="BI49" s="12">
        <f t="shared" si="69"/>
        <v>218.121432532196</v>
      </c>
      <c r="BJ49" s="12">
        <f t="shared" si="43"/>
        <v>217.36881010061836</v>
      </c>
      <c r="BK49" s="12">
        <f t="shared" si="44"/>
        <v>217.16078664939084</v>
      </c>
      <c r="BL49" s="12">
        <f t="shared" si="45"/>
        <v>217.22836538099199</v>
      </c>
      <c r="BM49" s="12">
        <f t="shared" si="46"/>
        <v>217.42218014422926</v>
      </c>
      <c r="BN49" s="12">
        <f t="shared" si="47"/>
        <v>217.66194163673285</v>
      </c>
      <c r="BO49" s="12">
        <f t="shared" si="70"/>
        <v>217.88409830506632</v>
      </c>
      <c r="BP49" s="12">
        <f t="shared" si="71"/>
        <v>218.09396840603222</v>
      </c>
      <c r="BQ49" s="12">
        <f t="shared" si="72"/>
        <v>218.31129811775736</v>
      </c>
      <c r="BR49" s="12">
        <f t="shared" si="73"/>
        <v>218.56367064781108</v>
      </c>
      <c r="BS49" s="12">
        <f t="shared" si="74"/>
        <v>218.59970065467647</v>
      </c>
      <c r="BT49" s="12">
        <f t="shared" si="62"/>
        <v>218.15788995504701</v>
      </c>
      <c r="BU49" s="12">
        <f t="shared" si="75"/>
        <v>217.44245503596952</v>
      </c>
    </row>
    <row r="50" spans="3:73" x14ac:dyDescent="0.3">
      <c r="AZ50" s="11"/>
      <c r="BA50">
        <v>873</v>
      </c>
      <c r="BB50" s="12">
        <f t="shared" si="42"/>
        <v>452.3313143091022</v>
      </c>
      <c r="BC50" s="12">
        <f t="shared" si="63"/>
        <v>325.66447348083415</v>
      </c>
      <c r="BD50" s="12">
        <f t="shared" si="64"/>
        <v>271.31628178909722</v>
      </c>
      <c r="BE50" s="12">
        <f t="shared" si="65"/>
        <v>244.69863173097374</v>
      </c>
      <c r="BF50" s="12">
        <f t="shared" si="66"/>
        <v>230.90335590628121</v>
      </c>
      <c r="BG50" s="12">
        <f t="shared" si="67"/>
        <v>223.6522896247366</v>
      </c>
      <c r="BH50" s="12">
        <f t="shared" si="68"/>
        <v>219.91058721434061</v>
      </c>
      <c r="BI50" s="12">
        <f t="shared" si="69"/>
        <v>218.0755593028297</v>
      </c>
      <c r="BJ50" s="12">
        <f t="shared" si="43"/>
        <v>217.28440122524827</v>
      </c>
      <c r="BK50" s="12">
        <f t="shared" si="44"/>
        <v>217.05688312064311</v>
      </c>
      <c r="BL50" s="12">
        <f t="shared" si="45"/>
        <v>217.12362525422543</v>
      </c>
      <c r="BM50" s="12">
        <f t="shared" si="46"/>
        <v>217.33458769903083</v>
      </c>
      <c r="BN50" s="12">
        <f t="shared" si="47"/>
        <v>217.60869222319221</v>
      </c>
      <c r="BO50" s="12">
        <f t="shared" ref="BO43:BO50" si="76">(BN50*$C$17-AR88)/($C$16-$C$17*BN88)</f>
        <v>217.89088215922948</v>
      </c>
      <c r="BP50" s="12">
        <f t="shared" ref="BP43:BP50" si="77">(BO50*$C$17-AS88)/($C$16-$C$17*BO88)</f>
        <v>218.17900645766323</v>
      </c>
      <c r="BQ50" s="12">
        <f t="shared" ref="BQ43:BQ50" si="78">(BP50*$C$17-AT88)/($C$16-$C$17*BP88)</f>
        <v>218.48621785408679</v>
      </c>
      <c r="BR50" s="12">
        <f t="shared" ref="BR43:BR50" si="79">(BQ50*$C$17-AU88)/($C$16-$C$17*BQ88)</f>
        <v>218.83426508200643</v>
      </c>
      <c r="BS50" s="12">
        <f t="shared" ref="BS43:BS50" si="80">(BR50*$C$17-AV88)/($C$16-$C$17*BR88)</f>
        <v>219.06943594142427</v>
      </c>
      <c r="BT50" s="12">
        <f t="shared" ref="BT43:BT50" si="81">(BS50*$C$17-AW88)/($C$16-$C$17*BS88)</f>
        <v>219.03206872477639</v>
      </c>
      <c r="BU50" s="12">
        <f t="shared" si="75"/>
        <v>218.87932333153202</v>
      </c>
    </row>
    <row r="52" spans="3:73" x14ac:dyDescent="0.3">
      <c r="E52" s="2"/>
      <c r="F52" s="2">
        <v>1</v>
      </c>
      <c r="G52" s="2">
        <v>2</v>
      </c>
      <c r="H52" s="2">
        <v>3</v>
      </c>
      <c r="I52" s="2">
        <v>4</v>
      </c>
      <c r="J52" s="2">
        <v>5</v>
      </c>
      <c r="K52" s="2">
        <v>6</v>
      </c>
      <c r="L52" s="2">
        <v>7</v>
      </c>
      <c r="M52" s="2">
        <v>8</v>
      </c>
      <c r="N52" s="2">
        <v>9</v>
      </c>
      <c r="O52" s="2">
        <v>10</v>
      </c>
      <c r="P52" s="2">
        <v>11</v>
      </c>
      <c r="Q52" s="2">
        <v>12</v>
      </c>
      <c r="R52" s="2">
        <v>13</v>
      </c>
      <c r="S52" s="2">
        <v>14</v>
      </c>
      <c r="T52" s="2">
        <v>15</v>
      </c>
      <c r="U52" s="2">
        <v>16</v>
      </c>
      <c r="V52" s="2">
        <v>17</v>
      </c>
      <c r="W52" s="2">
        <v>18</v>
      </c>
      <c r="X52" s="2">
        <v>19</v>
      </c>
      <c r="Y52" s="2">
        <v>20</v>
      </c>
      <c r="Z52" s="2">
        <v>21</v>
      </c>
    </row>
    <row r="53" spans="3:73" x14ac:dyDescent="0.3">
      <c r="E53" s="2" t="s">
        <v>0</v>
      </c>
      <c r="F53" s="3">
        <v>0</v>
      </c>
      <c r="G53" s="3">
        <f t="shared" ref="G53" si="82">F53+$C$3</f>
        <v>1E-3</v>
      </c>
      <c r="H53" s="3">
        <f t="shared" ref="H53" si="83">G53+$C$3</f>
        <v>2E-3</v>
      </c>
      <c r="I53" s="3">
        <f t="shared" ref="I53" si="84">H53+$C$3</f>
        <v>3.0000000000000001E-3</v>
      </c>
      <c r="J53" s="3">
        <f t="shared" ref="J53" si="85">I53+$C$3</f>
        <v>4.0000000000000001E-3</v>
      </c>
      <c r="K53" s="3">
        <f t="shared" ref="K53" si="86">J53+$C$3</f>
        <v>5.0000000000000001E-3</v>
      </c>
      <c r="L53" s="3">
        <f t="shared" ref="L53" si="87">K53+$C$3</f>
        <v>6.0000000000000001E-3</v>
      </c>
      <c r="M53" s="3">
        <f t="shared" ref="M53" si="88">L53+$C$3</f>
        <v>7.0000000000000001E-3</v>
      </c>
      <c r="N53" s="3">
        <f t="shared" ref="N53" si="89">M53+$C$3</f>
        <v>8.0000000000000002E-3</v>
      </c>
      <c r="O53" s="3">
        <f t="shared" ref="O53" si="90">N53+$C$3</f>
        <v>9.0000000000000011E-3</v>
      </c>
      <c r="P53" s="3">
        <f t="shared" ref="P53" si="91">O53+$C$3</f>
        <v>1.0000000000000002E-2</v>
      </c>
      <c r="Q53" s="3">
        <f t="shared" ref="Q53" si="92">P53+$C$3</f>
        <v>1.1000000000000003E-2</v>
      </c>
      <c r="R53" s="3">
        <f t="shared" ref="R53" si="93">Q53+$C$3</f>
        <v>1.2000000000000004E-2</v>
      </c>
      <c r="S53" s="3">
        <f t="shared" ref="S53" si="94">R53+$C$3</f>
        <v>1.3000000000000005E-2</v>
      </c>
      <c r="T53" s="3">
        <f t="shared" ref="T53" si="95">S53+$C$3</f>
        <v>1.4000000000000005E-2</v>
      </c>
      <c r="U53" s="3">
        <f t="shared" ref="U53" si="96">T53+$C$3</f>
        <v>1.5000000000000006E-2</v>
      </c>
      <c r="V53" s="3">
        <f t="shared" ref="V53" si="97">U53+$C$3</f>
        <v>1.6000000000000007E-2</v>
      </c>
      <c r="W53" s="3">
        <f t="shared" ref="W53" si="98">V53+$C$3</f>
        <v>1.7000000000000008E-2</v>
      </c>
      <c r="X53" s="3">
        <f t="shared" ref="X53" si="99">W53+$C$3</f>
        <v>1.8000000000000009E-2</v>
      </c>
      <c r="Y53" s="3">
        <f t="shared" ref="Y53" si="100">X53+$C$3</f>
        <v>1.900000000000001E-2</v>
      </c>
      <c r="Z53" s="3">
        <f t="shared" ref="Z53" si="101">Y53+$C$3</f>
        <v>2.0000000000000011E-2</v>
      </c>
    </row>
    <row r="54" spans="3:73" ht="14.4" customHeight="1" x14ac:dyDescent="0.3">
      <c r="C54" s="13" t="s">
        <v>23</v>
      </c>
      <c r="D54">
        <v>35</v>
      </c>
      <c r="E54">
        <f t="shared" ref="E54:E86" si="102">E55+$E$3</f>
        <v>6.8000000000000047E-2</v>
      </c>
      <c r="F54" s="2"/>
      <c r="G54" s="2"/>
      <c r="H54" s="2"/>
      <c r="I54" s="2">
        <f t="shared" ref="I54:M70" si="103">$E$7</f>
        <v>873</v>
      </c>
      <c r="J54" s="2">
        <f t="shared" ref="J54:U60" si="104">BE54*K54+BE16</f>
        <v>954.69424289441031</v>
      </c>
      <c r="K54" s="2">
        <f t="shared" si="104"/>
        <v>1015.4606367345846</v>
      </c>
      <c r="L54" s="2">
        <f t="shared" si="104"/>
        <v>1060.0389602400564</v>
      </c>
      <c r="M54" s="2">
        <f t="shared" si="104"/>
        <v>1091.9063226442529</v>
      </c>
      <c r="N54" s="2">
        <f t="shared" si="104"/>
        <v>1113.548378214701</v>
      </c>
      <c r="O54" s="2">
        <f t="shared" si="104"/>
        <v>1126.6532072858959</v>
      </c>
      <c r="P54" s="2">
        <f t="shared" si="104"/>
        <v>1132.2429865253907</v>
      </c>
      <c r="Q54" s="2">
        <f t="shared" si="104"/>
        <v>1130.7537187138662</v>
      </c>
      <c r="R54" s="2">
        <f t="shared" si="104"/>
        <v>1122.0692409620231</v>
      </c>
      <c r="S54" s="2">
        <f t="shared" si="104"/>
        <v>1105.5121640052175</v>
      </c>
      <c r="T54" s="2">
        <f t="shared" si="104"/>
        <v>1079.7910358408189</v>
      </c>
      <c r="U54" s="2">
        <f t="shared" si="104"/>
        <v>1042.8996084720043</v>
      </c>
      <c r="V54" s="2">
        <f>BQ54*W54+BQ16</f>
        <v>991.96035056400581</v>
      </c>
      <c r="W54" s="2">
        <f t="shared" ref="S54:W70" si="105">$E$8</f>
        <v>923</v>
      </c>
      <c r="X54" s="2"/>
      <c r="Y54" s="2"/>
      <c r="Z54" s="2"/>
      <c r="AC54" s="10" t="s">
        <v>22</v>
      </c>
      <c r="AD54" s="2"/>
      <c r="AE54" s="2"/>
      <c r="AF54" s="2"/>
      <c r="AG54">
        <f>(-($C$8*$C$7)/$C$4)*I15</f>
        <v>-4388124000</v>
      </c>
      <c r="AH54">
        <f t="shared" ref="AH54:AU54" si="106">(-($C$8*$C$7)/$C$4)*J15</f>
        <v>-4388124000</v>
      </c>
      <c r="AI54">
        <f t="shared" si="106"/>
        <v>-4388124000</v>
      </c>
      <c r="AJ54">
        <f t="shared" si="106"/>
        <v>-4388124000</v>
      </c>
      <c r="AK54">
        <f t="shared" si="106"/>
        <v>-4388124000</v>
      </c>
      <c r="AL54">
        <f t="shared" si="106"/>
        <v>-4388124000</v>
      </c>
      <c r="AM54">
        <f t="shared" si="106"/>
        <v>-4388124000</v>
      </c>
      <c r="AN54">
        <f t="shared" si="106"/>
        <v>-4388124000</v>
      </c>
      <c r="AO54">
        <f t="shared" si="106"/>
        <v>-4388124000</v>
      </c>
      <c r="AP54">
        <f t="shared" si="106"/>
        <v>-4388124000</v>
      </c>
      <c r="AQ54">
        <f t="shared" si="106"/>
        <v>-4388124000</v>
      </c>
      <c r="AR54">
        <f t="shared" si="106"/>
        <v>-4388124000</v>
      </c>
      <c r="AS54">
        <f t="shared" si="106"/>
        <v>-4388124000</v>
      </c>
      <c r="AT54">
        <f t="shared" si="106"/>
        <v>-4388124000</v>
      </c>
      <c r="AU54">
        <f t="shared" si="106"/>
        <v>-4388124000</v>
      </c>
      <c r="AV54" s="2"/>
      <c r="AW54" s="2"/>
      <c r="AX54" s="2"/>
      <c r="AZ54" s="14" t="s">
        <v>27</v>
      </c>
      <c r="BA54" s="2"/>
      <c r="BB54" s="2"/>
      <c r="BC54" s="2"/>
      <c r="BD54">
        <v>0</v>
      </c>
      <c r="BE54">
        <f>$C$15/($C$16-$C$17*BD54)</f>
        <v>0.48123195380173245</v>
      </c>
      <c r="BF54">
        <f t="shared" ref="BF54:BR54" si="107">$C$15/($C$16-$C$17*BE54)</f>
        <v>0.62626503729260619</v>
      </c>
      <c r="BG54">
        <f t="shared" si="107"/>
        <v>0.68883096824716772</v>
      </c>
      <c r="BH54">
        <f t="shared" si="107"/>
        <v>0.71985480322593665</v>
      </c>
      <c r="BI54">
        <f t="shared" si="107"/>
        <v>0.73629830034023724</v>
      </c>
      <c r="BJ54">
        <f t="shared" si="107"/>
        <v>0.74532215339190988</v>
      </c>
      <c r="BK54">
        <f t="shared" si="107"/>
        <v>0.75036889263611883</v>
      </c>
      <c r="BL54">
        <f t="shared" si="107"/>
        <v>0.75322127845104569</v>
      </c>
      <c r="BM54">
        <f t="shared" si="107"/>
        <v>0.75484304188610662</v>
      </c>
      <c r="BN54">
        <f t="shared" si="107"/>
        <v>0.7557682358602863</v>
      </c>
      <c r="BO54">
        <f t="shared" si="107"/>
        <v>0.75629706313297662</v>
      </c>
      <c r="BP54">
        <f t="shared" si="107"/>
        <v>0.75659966555753366</v>
      </c>
      <c r="BQ54">
        <f t="shared" si="107"/>
        <v>0.75677292788178863</v>
      </c>
      <c r="BR54">
        <f t="shared" si="107"/>
        <v>0.75687216913954447</v>
      </c>
      <c r="BS54" s="2"/>
      <c r="BT54" s="2"/>
      <c r="BU54" s="2"/>
    </row>
    <row r="55" spans="3:73" x14ac:dyDescent="0.3">
      <c r="C55" s="11"/>
      <c r="D55">
        <v>34</v>
      </c>
      <c r="E55">
        <f t="shared" si="102"/>
        <v>6.6000000000000045E-2</v>
      </c>
      <c r="F55" s="2"/>
      <c r="G55" s="2"/>
      <c r="H55" s="2"/>
      <c r="I55" s="2">
        <f t="shared" si="103"/>
        <v>873</v>
      </c>
      <c r="J55" s="2">
        <f t="shared" si="104"/>
        <v>948.8156294170941</v>
      </c>
      <c r="K55" s="2">
        <f t="shared" si="104"/>
        <v>1006.1309293311892</v>
      </c>
      <c r="L55" s="2">
        <f t="shared" si="104"/>
        <v>1048.8131950652091</v>
      </c>
      <c r="M55" s="2">
        <f t="shared" si="104"/>
        <v>1079.7423718849439</v>
      </c>
      <c r="N55" s="2">
        <f t="shared" si="104"/>
        <v>1101.0053765654275</v>
      </c>
      <c r="O55" s="2">
        <f t="shared" si="104"/>
        <v>1114.0369101145127</v>
      </c>
      <c r="P55" s="2">
        <f t="shared" si="104"/>
        <v>1119.7162628581759</v>
      </c>
      <c r="Q55" s="2">
        <f t="shared" si="104"/>
        <v>1118.4266437185674</v>
      </c>
      <c r="R55" s="2">
        <f t="shared" si="104"/>
        <v>1110.0810368713881</v>
      </c>
      <c r="S55" s="2">
        <f t="shared" si="104"/>
        <v>1094.1163304359459</v>
      </c>
      <c r="T55" s="2">
        <f t="shared" si="104"/>
        <v>1069.4553210368392</v>
      </c>
      <c r="U55" s="2">
        <f t="shared" si="104"/>
        <v>1034.4340305312217</v>
      </c>
      <c r="V55" s="2">
        <f t="shared" ref="V55:V58" si="108">BQ55*W55+BQ17</f>
        <v>986.68943066698421</v>
      </c>
      <c r="W55" s="2">
        <f t="shared" si="105"/>
        <v>923</v>
      </c>
      <c r="X55" s="2"/>
      <c r="Y55" s="2"/>
      <c r="Z55" s="2"/>
      <c r="AC55" s="11"/>
      <c r="AD55" s="2"/>
      <c r="AE55" s="2"/>
      <c r="AF55" s="2"/>
      <c r="AG55">
        <f t="shared" ref="AG55:AG58" si="109">(-($C$8*$C$7)/$C$4)*I16</f>
        <v>-4218656179.9307952</v>
      </c>
      <c r="AH55">
        <f t="shared" ref="AH55:AH59" si="110">(-($C$8*$C$7)/$C$4)*J16</f>
        <v>-4255365635.4864802</v>
      </c>
      <c r="AI55">
        <f t="shared" ref="AI55:AI60" si="111">(-($C$8*$C$7)/$C$4)*K16</f>
        <v>-4283117346.7237782</v>
      </c>
      <c r="AJ55">
        <f t="shared" ref="AJ55:AJ60" si="112">(-($C$8*$C$7)/$C$4)*L16</f>
        <v>-4303783833.9510899</v>
      </c>
      <c r="AK55">
        <f t="shared" ref="AK55:AK60" si="113">(-($C$8*$C$7)/$C$4)*M16</f>
        <v>-4318759548.7287331</v>
      </c>
      <c r="AL55">
        <f t="shared" ref="AL55:AL60" si="114">(-($C$8*$C$7)/$C$4)*N16</f>
        <v>-4329054963.1610842</v>
      </c>
      <c r="AM55">
        <f t="shared" ref="AM55:AM60" si="115">(-($C$8*$C$7)/$C$4)*O16</f>
        <v>-4335364750.5402899</v>
      </c>
      <c r="AN55">
        <f t="shared" ref="AN55:AN60" si="116">(-($C$8*$C$7)/$C$4)*P16</f>
        <v>-4338114657.7656403</v>
      </c>
      <c r="AO55">
        <f t="shared" ref="AO55:AO60" si="117">(-($C$8*$C$7)/$C$4)*Q16</f>
        <v>-4337490232.2104731</v>
      </c>
      <c r="AP55">
        <f t="shared" ref="AP55:AP60" si="118">(-($C$8*$C$7)/$C$4)*R16</f>
        <v>-4333449341.3546267</v>
      </c>
      <c r="AQ55">
        <f t="shared" ref="AQ55:AQ60" si="119">(-($C$8*$C$7)/$C$4)*S16</f>
        <v>-4325719329.9327431</v>
      </c>
      <c r="AR55">
        <f t="shared" ref="AR55:AR60" si="120">(-($C$8*$C$7)/$C$4)*T16</f>
        <v>-4313778622.7796774</v>
      </c>
      <c r="AS55">
        <f t="shared" ref="AS55:AS60" si="121">(-($C$8*$C$7)/$C$4)*U16</f>
        <v>-4296821532.0425434</v>
      </c>
      <c r="AT55">
        <f t="shared" ref="AT55:AT59" si="122">(-($C$8*$C$7)/$C$4)*V16</f>
        <v>-4273703894.1594892</v>
      </c>
      <c r="AU55">
        <f t="shared" ref="AU55:AU58" si="123">(-($C$8*$C$7)/$C$4)*W16</f>
        <v>-4242865868.5121112</v>
      </c>
      <c r="AV55" s="2"/>
      <c r="AW55" s="2"/>
      <c r="AX55" s="2"/>
      <c r="AZ55" s="11"/>
      <c r="BA55" s="2"/>
      <c r="BB55" s="2"/>
      <c r="BC55" s="2"/>
      <c r="BD55">
        <v>0</v>
      </c>
      <c r="BE55">
        <f t="shared" ref="BE55:BR55" si="124">$C$15/($C$16-$C$17*BD55)</f>
        <v>0.48123195380173245</v>
      </c>
      <c r="BF55">
        <f t="shared" si="124"/>
        <v>0.62626503729260619</v>
      </c>
      <c r="BG55">
        <f t="shared" si="124"/>
        <v>0.68883096824716772</v>
      </c>
      <c r="BH55">
        <f t="shared" si="124"/>
        <v>0.71985480322593665</v>
      </c>
      <c r="BI55">
        <f t="shared" si="124"/>
        <v>0.73629830034023724</v>
      </c>
      <c r="BJ55">
        <f t="shared" si="124"/>
        <v>0.74532215339190988</v>
      </c>
      <c r="BK55">
        <f t="shared" si="124"/>
        <v>0.75036889263611883</v>
      </c>
      <c r="BL55">
        <f t="shared" si="124"/>
        <v>0.75322127845104569</v>
      </c>
      <c r="BM55">
        <f t="shared" si="124"/>
        <v>0.75484304188610662</v>
      </c>
      <c r="BN55">
        <f t="shared" si="124"/>
        <v>0.7557682358602863</v>
      </c>
      <c r="BO55">
        <f t="shared" si="124"/>
        <v>0.75629706313297662</v>
      </c>
      <c r="BP55">
        <f t="shared" si="124"/>
        <v>0.75659966555753366</v>
      </c>
      <c r="BQ55">
        <f t="shared" si="124"/>
        <v>0.75677292788178863</v>
      </c>
      <c r="BR55">
        <f t="shared" si="124"/>
        <v>0.75687216913954447</v>
      </c>
      <c r="BS55" s="2"/>
      <c r="BT55" s="2"/>
      <c r="BU55" s="2"/>
    </row>
    <row r="56" spans="3:73" x14ac:dyDescent="0.3">
      <c r="C56" s="11"/>
      <c r="D56">
        <v>33</v>
      </c>
      <c r="E56">
        <f t="shared" si="102"/>
        <v>6.4000000000000043E-2</v>
      </c>
      <c r="F56" s="2"/>
      <c r="G56" s="2"/>
      <c r="H56" s="2"/>
      <c r="I56" s="2">
        <f t="shared" si="103"/>
        <v>873</v>
      </c>
      <c r="J56" s="2">
        <f t="shared" si="104"/>
        <v>940.66681493709734</v>
      </c>
      <c r="K56" s="2">
        <f t="shared" si="104"/>
        <v>993.03850377989909</v>
      </c>
      <c r="L56" s="2">
        <f t="shared" si="104"/>
        <v>1032.8799476865265</v>
      </c>
      <c r="M56" s="2">
        <f t="shared" si="104"/>
        <v>1062.3048180703747</v>
      </c>
      <c r="N56" s="2">
        <f t="shared" si="104"/>
        <v>1082.880816376248</v>
      </c>
      <c r="O56" s="2">
        <f t="shared" si="104"/>
        <v>1095.7082802596485</v>
      </c>
      <c r="P56" s="2">
        <f t="shared" si="104"/>
        <v>1101.4756923976552</v>
      </c>
      <c r="Q56" s="2">
        <f t="shared" si="104"/>
        <v>1100.4946185643776</v>
      </c>
      <c r="R56" s="2">
        <f t="shared" si="104"/>
        <v>1092.7156832075382</v>
      </c>
      <c r="S56" s="2">
        <f t="shared" si="104"/>
        <v>1077.7263321452992</v>
      </c>
      <c r="T56" s="2">
        <f t="shared" si="104"/>
        <v>1054.7303026072475</v>
      </c>
      <c r="U56" s="2">
        <f t="shared" si="104"/>
        <v>1022.5078906960374</v>
      </c>
      <c r="V56" s="2">
        <f t="shared" si="108"/>
        <v>979.35524572268412</v>
      </c>
      <c r="W56" s="2">
        <f t="shared" si="105"/>
        <v>923</v>
      </c>
      <c r="X56" s="2"/>
      <c r="Y56" s="2"/>
      <c r="Z56" s="2"/>
      <c r="AC56" s="11"/>
      <c r="AD56" s="2"/>
      <c r="AE56" s="2"/>
      <c r="AF56" s="2"/>
      <c r="AG56">
        <f t="shared" si="109"/>
        <v>-3999320951.2195115</v>
      </c>
      <c r="AH56">
        <f t="shared" si="110"/>
        <v>-4078688332.3318901</v>
      </c>
      <c r="AI56">
        <f t="shared" si="111"/>
        <v>-4139413418.6263027</v>
      </c>
      <c r="AJ56">
        <f t="shared" si="112"/>
        <v>-4185135634.3471065</v>
      </c>
      <c r="AK56">
        <f t="shared" si="113"/>
        <v>-4218597802.8233418</v>
      </c>
      <c r="AL56">
        <f t="shared" si="114"/>
        <v>-4241808952.5917268</v>
      </c>
      <c r="AM56">
        <f t="shared" si="115"/>
        <v>-4256163689.8597512</v>
      </c>
      <c r="AN56">
        <f t="shared" si="116"/>
        <v>-4262525139.0018506</v>
      </c>
      <c r="AO56">
        <f t="shared" si="117"/>
        <v>-4261276321.4928317</v>
      </c>
      <c r="AP56">
        <f t="shared" si="118"/>
        <v>-4252342993.7970185</v>
      </c>
      <c r="AQ56">
        <f t="shared" si="119"/>
        <v>-4235189289.6247225</v>
      </c>
      <c r="AR56">
        <f t="shared" si="120"/>
        <v>-4208785914.920085</v>
      </c>
      <c r="AS56">
        <f t="shared" si="121"/>
        <v>-4171549032.6759672</v>
      </c>
      <c r="AT56">
        <f t="shared" si="122"/>
        <v>-4121246256.1222153</v>
      </c>
      <c r="AU56">
        <f t="shared" si="123"/>
        <v>-4054864243.9024391</v>
      </c>
      <c r="AV56" s="2"/>
      <c r="AW56" s="2"/>
      <c r="AX56" s="2"/>
      <c r="AZ56" s="11"/>
      <c r="BA56" s="2"/>
      <c r="BB56" s="2"/>
      <c r="BC56" s="2"/>
      <c r="BD56">
        <v>0</v>
      </c>
      <c r="BE56">
        <f t="shared" ref="BE56:BR56" si="125">$C$15/($C$16-$C$17*BD56)</f>
        <v>0.48123195380173245</v>
      </c>
      <c r="BF56">
        <f t="shared" si="125"/>
        <v>0.62626503729260619</v>
      </c>
      <c r="BG56">
        <f t="shared" si="125"/>
        <v>0.68883096824716772</v>
      </c>
      <c r="BH56">
        <f t="shared" si="125"/>
        <v>0.71985480322593665</v>
      </c>
      <c r="BI56">
        <f t="shared" si="125"/>
        <v>0.73629830034023724</v>
      </c>
      <c r="BJ56">
        <f t="shared" si="125"/>
        <v>0.74532215339190988</v>
      </c>
      <c r="BK56">
        <f t="shared" si="125"/>
        <v>0.75036889263611883</v>
      </c>
      <c r="BL56">
        <f t="shared" si="125"/>
        <v>0.75322127845104569</v>
      </c>
      <c r="BM56">
        <f t="shared" si="125"/>
        <v>0.75484304188610662</v>
      </c>
      <c r="BN56">
        <f t="shared" si="125"/>
        <v>0.7557682358602863</v>
      </c>
      <c r="BO56">
        <f t="shared" si="125"/>
        <v>0.75629706313297662</v>
      </c>
      <c r="BP56">
        <f t="shared" si="125"/>
        <v>0.75659966555753366</v>
      </c>
      <c r="BQ56">
        <f t="shared" si="125"/>
        <v>0.75677292788178863</v>
      </c>
      <c r="BR56">
        <f t="shared" si="125"/>
        <v>0.75687216913954447</v>
      </c>
      <c r="BS56" s="2"/>
      <c r="BT56" s="2"/>
      <c r="BU56" s="2"/>
    </row>
    <row r="57" spans="3:73" x14ac:dyDescent="0.3">
      <c r="C57" s="11"/>
      <c r="D57">
        <v>32</v>
      </c>
      <c r="E57">
        <f t="shared" si="102"/>
        <v>6.2000000000000041E-2</v>
      </c>
      <c r="F57" s="2"/>
      <c r="G57" s="2"/>
      <c r="H57" s="2"/>
      <c r="I57" s="2">
        <f t="shared" si="103"/>
        <v>873</v>
      </c>
      <c r="J57" s="2">
        <f t="shared" si="104"/>
        <v>931.84590518766254</v>
      </c>
      <c r="K57" s="2">
        <f t="shared" si="104"/>
        <v>978.65840221153394</v>
      </c>
      <c r="L57" s="2">
        <f t="shared" si="104"/>
        <v>1015.1458428633358</v>
      </c>
      <c r="M57" s="2">
        <f t="shared" si="104"/>
        <v>1042.6728238313653</v>
      </c>
      <c r="N57" s="2">
        <f t="shared" si="104"/>
        <v>1062.2900309568493</v>
      </c>
      <c r="O57" s="2">
        <f t="shared" si="104"/>
        <v>1074.7593194413623</v>
      </c>
      <c r="P57" s="2">
        <f t="shared" si="104"/>
        <v>1080.5731705198843</v>
      </c>
      <c r="Q57" s="2">
        <f t="shared" si="104"/>
        <v>1079.9680548165447</v>
      </c>
      <c r="R57" s="2">
        <f t="shared" si="104"/>
        <v>1072.9314936659423</v>
      </c>
      <c r="S57" s="2">
        <f t="shared" si="104"/>
        <v>1059.2027961365122</v>
      </c>
      <c r="T57" s="2">
        <f t="shared" si="104"/>
        <v>1038.2676071391247</v>
      </c>
      <c r="U57" s="2">
        <f t="shared" si="104"/>
        <v>1009.3465732598494</v>
      </c>
      <c r="V57" s="2">
        <f t="shared" si="108"/>
        <v>971.37866137527567</v>
      </c>
      <c r="W57" s="2">
        <f t="shared" si="105"/>
        <v>923</v>
      </c>
      <c r="X57" s="2"/>
      <c r="Y57" s="2"/>
      <c r="Z57" s="2"/>
      <c r="AC57" s="11"/>
      <c r="AD57" s="2"/>
      <c r="AE57" s="2"/>
      <c r="AF57" s="2"/>
      <c r="AG57">
        <f t="shared" si="109"/>
        <v>-3781783176.653161</v>
      </c>
      <c r="AH57">
        <f t="shared" si="110"/>
        <v>-3896999883.3477254</v>
      </c>
      <c r="AI57">
        <f t="shared" si="111"/>
        <v>-3986378940.2501893</v>
      </c>
      <c r="AJ57">
        <f t="shared" si="112"/>
        <v>-4054524429.6471734</v>
      </c>
      <c r="AK57">
        <f t="shared" si="113"/>
        <v>-4104959688.6640382</v>
      </c>
      <c r="AL57">
        <f t="shared" si="114"/>
        <v>-4140300888.5578365</v>
      </c>
      <c r="AM57">
        <f t="shared" si="115"/>
        <v>-4162386558.8312044</v>
      </c>
      <c r="AN57">
        <f t="shared" si="116"/>
        <v>-4172369007.7909751</v>
      </c>
      <c r="AO57">
        <f t="shared" si="117"/>
        <v>-4170771871.2558565</v>
      </c>
      <c r="AP57">
        <f t="shared" si="118"/>
        <v>-4157516472.6994648</v>
      </c>
      <c r="AQ57">
        <f t="shared" si="119"/>
        <v>-4131918240.0638561</v>
      </c>
      <c r="AR57">
        <f t="shared" si="120"/>
        <v>-4092653038.9820094</v>
      </c>
      <c r="AS57">
        <f t="shared" si="121"/>
        <v>-4037691893.100071</v>
      </c>
      <c r="AT57">
        <f t="shared" si="122"/>
        <v>-3964201113.5867863</v>
      </c>
      <c r="AU57">
        <f t="shared" si="123"/>
        <v>-3868403294.274138</v>
      </c>
      <c r="AV57" s="2"/>
      <c r="AW57" s="2"/>
      <c r="AX57" s="2"/>
      <c r="AZ57" s="11"/>
      <c r="BA57" s="2"/>
      <c r="BB57" s="2"/>
      <c r="BC57" s="2"/>
      <c r="BD57">
        <v>0</v>
      </c>
      <c r="BE57">
        <f t="shared" ref="BE57:BR57" si="126">$C$15/($C$16-$C$17*BD57)</f>
        <v>0.48123195380173245</v>
      </c>
      <c r="BF57">
        <f t="shared" si="126"/>
        <v>0.62626503729260619</v>
      </c>
      <c r="BG57">
        <f t="shared" si="126"/>
        <v>0.68883096824716772</v>
      </c>
      <c r="BH57">
        <f t="shared" si="126"/>
        <v>0.71985480322593665</v>
      </c>
      <c r="BI57">
        <f t="shared" si="126"/>
        <v>0.73629830034023724</v>
      </c>
      <c r="BJ57">
        <f t="shared" si="126"/>
        <v>0.74532215339190988</v>
      </c>
      <c r="BK57">
        <f t="shared" si="126"/>
        <v>0.75036889263611883</v>
      </c>
      <c r="BL57">
        <f t="shared" si="126"/>
        <v>0.75322127845104569</v>
      </c>
      <c r="BM57">
        <f t="shared" si="126"/>
        <v>0.75484304188610662</v>
      </c>
      <c r="BN57">
        <f t="shared" si="126"/>
        <v>0.7557682358602863</v>
      </c>
      <c r="BO57">
        <f t="shared" si="126"/>
        <v>0.75629706313297662</v>
      </c>
      <c r="BP57">
        <f t="shared" si="126"/>
        <v>0.75659966555753366</v>
      </c>
      <c r="BQ57">
        <f t="shared" si="126"/>
        <v>0.75677292788178863</v>
      </c>
      <c r="BR57">
        <f t="shared" si="126"/>
        <v>0.75687216913954447</v>
      </c>
      <c r="BS57" s="2"/>
      <c r="BT57" s="2"/>
      <c r="BU57" s="2"/>
    </row>
    <row r="58" spans="3:73" x14ac:dyDescent="0.3">
      <c r="C58" s="11"/>
      <c r="D58">
        <v>31</v>
      </c>
      <c r="E58">
        <f t="shared" si="102"/>
        <v>6.0000000000000039E-2</v>
      </c>
      <c r="F58" s="2"/>
      <c r="G58" s="2"/>
      <c r="H58" s="2"/>
      <c r="I58" s="2">
        <f t="shared" si="103"/>
        <v>873</v>
      </c>
      <c r="J58" s="2">
        <f t="shared" si="104"/>
        <v>923.45421778561342</v>
      </c>
      <c r="K58" s="2">
        <f t="shared" si="104"/>
        <v>964.750212994305</v>
      </c>
      <c r="L58" s="2">
        <f t="shared" si="104"/>
        <v>997.73825508803702</v>
      </c>
      <c r="M58" s="2">
        <f t="shared" si="104"/>
        <v>1023.1589053875191</v>
      </c>
      <c r="N58" s="2">
        <f t="shared" si="104"/>
        <v>1041.6220967099821</v>
      </c>
      <c r="O58" s="2">
        <f t="shared" si="104"/>
        <v>1053.5952555917515</v>
      </c>
      <c r="P58" s="2">
        <f t="shared" si="104"/>
        <v>1059.397321158162</v>
      </c>
      <c r="Q58" s="2">
        <f t="shared" si="104"/>
        <v>1059.1965849875601</v>
      </c>
      <c r="R58" s="2">
        <f t="shared" si="104"/>
        <v>1053.0111424239635</v>
      </c>
      <c r="S58" s="2">
        <f t="shared" si="104"/>
        <v>1040.711488794517</v>
      </c>
      <c r="T58" s="2">
        <f t="shared" si="104"/>
        <v>1022.0254855407452</v>
      </c>
      <c r="U58" s="2">
        <f t="shared" si="104"/>
        <v>996.5466289758308</v>
      </c>
      <c r="V58" s="2">
        <f t="shared" si="108"/>
        <v>963.7473468569799</v>
      </c>
      <c r="W58" s="2">
        <f t="shared" si="105"/>
        <v>923</v>
      </c>
      <c r="X58" s="2"/>
      <c r="Y58" s="2"/>
      <c r="Z58" s="2"/>
      <c r="AC58" s="11"/>
      <c r="AD58" s="2"/>
      <c r="AE58" s="2"/>
      <c r="AF58" s="2"/>
      <c r="AG58">
        <f t="shared" si="109"/>
        <v>-3596175137.5488439</v>
      </c>
      <c r="AH58">
        <f t="shared" si="110"/>
        <v>-3734631971.9531879</v>
      </c>
      <c r="AI58">
        <f t="shared" si="111"/>
        <v>-3843689607.5117064</v>
      </c>
      <c r="AJ58">
        <f t="shared" si="112"/>
        <v>-3927984881.7913733</v>
      </c>
      <c r="AK58">
        <f t="shared" si="113"/>
        <v>-3991137265.4732962</v>
      </c>
      <c r="AL58">
        <f t="shared" si="114"/>
        <v>-4035881575.2673254</v>
      </c>
      <c r="AM58">
        <f t="shared" si="115"/>
        <v>-4064170069.5697155</v>
      </c>
      <c r="AN58">
        <f t="shared" si="116"/>
        <v>-4077246468.2180519</v>
      </c>
      <c r="AO58">
        <f t="shared" si="117"/>
        <v>-4075693841.0131216</v>
      </c>
      <c r="AP58">
        <f t="shared" si="118"/>
        <v>-4059457688.0462718</v>
      </c>
      <c r="AQ58">
        <f t="shared" si="119"/>
        <v>-4027844904.5136933</v>
      </c>
      <c r="AR58">
        <f t="shared" si="120"/>
        <v>-3979498694.4327502</v>
      </c>
      <c r="AS58">
        <f t="shared" si="121"/>
        <v>-3912348880.2463679</v>
      </c>
      <c r="AT58">
        <f t="shared" si="122"/>
        <v>-3823536458.476778</v>
      </c>
      <c r="AU58">
        <f t="shared" si="123"/>
        <v>-3709310689.32758</v>
      </c>
      <c r="AV58" s="2"/>
      <c r="AW58" s="2"/>
      <c r="AX58" s="2"/>
      <c r="AZ58" s="11"/>
      <c r="BA58" s="2"/>
      <c r="BB58" s="2"/>
      <c r="BC58" s="2"/>
      <c r="BD58">
        <v>0</v>
      </c>
      <c r="BE58">
        <f t="shared" ref="BE58:BR58" si="127">$C$15/($C$16-$C$17*BD58)</f>
        <v>0.48123195380173245</v>
      </c>
      <c r="BF58">
        <f t="shared" si="127"/>
        <v>0.62626503729260619</v>
      </c>
      <c r="BG58">
        <f t="shared" si="127"/>
        <v>0.68883096824716772</v>
      </c>
      <c r="BH58">
        <f t="shared" si="127"/>
        <v>0.71985480322593665</v>
      </c>
      <c r="BI58">
        <f t="shared" si="127"/>
        <v>0.73629830034023724</v>
      </c>
      <c r="BJ58">
        <f t="shared" si="127"/>
        <v>0.74532215339190988</v>
      </c>
      <c r="BK58">
        <f t="shared" si="127"/>
        <v>0.75036889263611883</v>
      </c>
      <c r="BL58">
        <f t="shared" si="127"/>
        <v>0.75322127845104569</v>
      </c>
      <c r="BM58">
        <f t="shared" si="127"/>
        <v>0.75484304188610662</v>
      </c>
      <c r="BN58">
        <f t="shared" si="127"/>
        <v>0.7557682358602863</v>
      </c>
      <c r="BO58">
        <f t="shared" si="127"/>
        <v>0.75629706313297662</v>
      </c>
      <c r="BP58">
        <f t="shared" si="127"/>
        <v>0.75659966555753366</v>
      </c>
      <c r="BQ58">
        <f t="shared" si="127"/>
        <v>0.75677292788178863</v>
      </c>
      <c r="BR58">
        <f t="shared" si="127"/>
        <v>0.75687216913954447</v>
      </c>
      <c r="BS58" s="2"/>
      <c r="BT58" s="2"/>
      <c r="BU58" s="2"/>
    </row>
    <row r="59" spans="3:73" x14ac:dyDescent="0.3">
      <c r="C59" s="11"/>
      <c r="D59">
        <v>30</v>
      </c>
      <c r="E59">
        <f t="shared" si="102"/>
        <v>5.8000000000000038E-2</v>
      </c>
      <c r="F59" s="2"/>
      <c r="G59" s="2"/>
      <c r="H59" s="2"/>
      <c r="I59" s="2"/>
      <c r="J59" s="2">
        <f t="shared" si="103"/>
        <v>873</v>
      </c>
      <c r="K59" s="2">
        <f t="shared" ref="K59" si="128">BF59*L59+BF21</f>
        <v>917.99467625723491</v>
      </c>
      <c r="L59" s="2">
        <f t="shared" si="104"/>
        <v>954.19555009209512</v>
      </c>
      <c r="M59" s="2">
        <f t="shared" si="104"/>
        <v>982.30087830889613</v>
      </c>
      <c r="N59" s="2">
        <f t="shared" si="104"/>
        <v>1002.8923872702005</v>
      </c>
      <c r="O59" s="2">
        <f t="shared" si="104"/>
        <v>1016.4228717617948</v>
      </c>
      <c r="P59" s="2">
        <f t="shared" si="104"/>
        <v>1023.2095376798388</v>
      </c>
      <c r="Q59" s="2">
        <f t="shared" si="104"/>
        <v>1023.431465821079</v>
      </c>
      <c r="R59" s="2">
        <f t="shared" si="104"/>
        <v>1017.130248894945</v>
      </c>
      <c r="S59" s="2">
        <f t="shared" si="104"/>
        <v>1004.2134541323846</v>
      </c>
      <c r="T59" s="2">
        <f t="shared" ref="T59:T60" si="129">BO59*U59+BO21</f>
        <v>984.46113345158119</v>
      </c>
      <c r="U59" s="2">
        <f t="shared" si="104"/>
        <v>957.53618432574535</v>
      </c>
      <c r="V59" s="2">
        <f t="shared" si="105"/>
        <v>923</v>
      </c>
      <c r="W59" s="2"/>
      <c r="X59" s="2"/>
      <c r="Y59" s="2"/>
      <c r="Z59" s="2"/>
      <c r="AC59" s="11"/>
      <c r="AD59" s="2"/>
      <c r="AE59" s="2"/>
      <c r="AF59" s="2"/>
      <c r="AG59" s="2"/>
      <c r="AH59">
        <f t="shared" si="110"/>
        <v>-3573373145.0314956</v>
      </c>
      <c r="AI59">
        <f t="shared" si="111"/>
        <v>-3698279809.8401952</v>
      </c>
      <c r="AJ59">
        <f t="shared" si="112"/>
        <v>-3796048732.1611719</v>
      </c>
      <c r="AK59">
        <f t="shared" ref="AJ59:AK88" si="130">(-($C$8*$C$7)/$C$4)*M20</f>
        <v>-3870131237.1251569</v>
      </c>
      <c r="AL59">
        <f t="shared" ref="AL59:AL88" si="131">(-($C$8*$C$7)/$C$4)*N20</f>
        <v>-3923185011.1321492</v>
      </c>
      <c r="AM59">
        <f t="shared" ref="AM59:AM88" si="132">(-($C$8*$C$7)/$C$4)*O20</f>
        <v>-3957140918.2646275</v>
      </c>
      <c r="AN59">
        <f t="shared" ref="AN59:AN88" si="133">(-($C$8*$C$7)/$C$4)*P20</f>
        <v>-3973253758.9282503</v>
      </c>
      <c r="AO59">
        <f t="shared" ref="AO59:AO88" si="134">(-($C$8*$C$7)/$C$4)*Q20</f>
        <v>-3972136772.4652424</v>
      </c>
      <c r="AP59">
        <f t="shared" ref="AP59:AP88" si="135">(-($C$8*$C$7)/$C$4)*R20</f>
        <v>-3953779913.510673</v>
      </c>
      <c r="AQ59">
        <f t="shared" ref="AQ59:AT88" si="136">(-($C$8*$C$7)/$C$4)*S20</f>
        <v>-3917552065.6661711</v>
      </c>
      <c r="AR59">
        <f t="shared" si="120"/>
        <v>-3862187455.295774</v>
      </c>
      <c r="AS59">
        <f t="shared" si="121"/>
        <v>-3785756648.5566053</v>
      </c>
      <c r="AT59">
        <f t="shared" si="122"/>
        <v>-2936818863.303134</v>
      </c>
      <c r="AU59" s="2"/>
      <c r="AV59" s="2"/>
      <c r="AW59" s="2"/>
      <c r="AX59" s="2"/>
      <c r="AZ59" s="11"/>
      <c r="BA59" s="2"/>
      <c r="BB59" s="2"/>
      <c r="BC59" s="2"/>
      <c r="BD59" s="2"/>
      <c r="BE59">
        <v>0</v>
      </c>
      <c r="BF59">
        <f t="shared" ref="BE59:BR60" si="137">$C$15/($C$16-$C$17*BE59)</f>
        <v>0.48123195380173245</v>
      </c>
      <c r="BG59">
        <f t="shared" si="137"/>
        <v>0.62626503729260619</v>
      </c>
      <c r="BH59">
        <f t="shared" si="137"/>
        <v>0.68883096824716772</v>
      </c>
      <c r="BI59">
        <f t="shared" si="137"/>
        <v>0.71985480322593665</v>
      </c>
      <c r="BJ59">
        <f t="shared" ref="BJ59:BM59" si="138">$C$15/($C$16-$C$17*BI59)</f>
        <v>0.73629830034023724</v>
      </c>
      <c r="BK59">
        <f t="shared" si="138"/>
        <v>0.74532215339190988</v>
      </c>
      <c r="BL59">
        <f t="shared" si="138"/>
        <v>0.75036889263611883</v>
      </c>
      <c r="BM59">
        <f t="shared" si="138"/>
        <v>0.75322127845104569</v>
      </c>
      <c r="BN59">
        <f t="shared" si="137"/>
        <v>0.75484304188610662</v>
      </c>
      <c r="BO59">
        <f t="shared" si="137"/>
        <v>0.7557682358602863</v>
      </c>
      <c r="BP59">
        <f t="shared" si="137"/>
        <v>0.75629706313297662</v>
      </c>
      <c r="BQ59">
        <f t="shared" si="137"/>
        <v>0.75659966555753366</v>
      </c>
      <c r="BS59" s="2"/>
      <c r="BT59" s="2"/>
      <c r="BU59" s="2"/>
    </row>
    <row r="60" spans="3:73" x14ac:dyDescent="0.3">
      <c r="C60" s="11"/>
      <c r="D60">
        <v>29</v>
      </c>
      <c r="E60">
        <f t="shared" si="102"/>
        <v>5.6000000000000036E-2</v>
      </c>
      <c r="F60" s="2"/>
      <c r="G60" s="2"/>
      <c r="H60" s="2"/>
      <c r="I60" s="2"/>
      <c r="J60" s="2"/>
      <c r="K60" s="2">
        <f t="shared" si="103"/>
        <v>873</v>
      </c>
      <c r="L60" s="2">
        <f t="shared" si="104"/>
        <v>911.73998583816183</v>
      </c>
      <c r="M60" s="2">
        <f t="shared" si="104"/>
        <v>942.06961266384792</v>
      </c>
      <c r="N60" s="2">
        <f t="shared" si="104"/>
        <v>964.5299215114635</v>
      </c>
      <c r="O60" s="2">
        <f t="shared" si="104"/>
        <v>979.55226171398658</v>
      </c>
      <c r="P60" s="2">
        <f t="shared" si="104"/>
        <v>987.4516104469285</v>
      </c>
      <c r="Q60" s="2">
        <f t="shared" si="104"/>
        <v>988.42426967094616</v>
      </c>
      <c r="R60" s="2">
        <f t="shared" si="104"/>
        <v>982.5492739408038</v>
      </c>
      <c r="S60" s="2">
        <f t="shared" si="104"/>
        <v>969.79330773549475</v>
      </c>
      <c r="T60" s="2">
        <f t="shared" si="129"/>
        <v>950.01938415245615</v>
      </c>
      <c r="U60" s="2">
        <f t="shared" si="105"/>
        <v>923</v>
      </c>
      <c r="V60" s="2"/>
      <c r="W60" s="2"/>
      <c r="X60" s="2"/>
      <c r="Y60" s="2"/>
      <c r="Z60" s="2"/>
      <c r="AC60" s="11"/>
      <c r="AD60" s="2"/>
      <c r="AE60" s="2"/>
      <c r="AF60" s="2"/>
      <c r="AG60" s="2"/>
      <c r="AH60" s="2"/>
      <c r="AI60">
        <f t="shared" si="111"/>
        <v>-3548571941.1333666</v>
      </c>
      <c r="AJ60">
        <f t="shared" si="112"/>
        <v>-3658199583.76121</v>
      </c>
      <c r="AK60">
        <f t="shared" si="130"/>
        <v>-3742134397.2291369</v>
      </c>
      <c r="AL60">
        <f t="shared" si="131"/>
        <v>-3802879916.0573897</v>
      </c>
      <c r="AM60">
        <f t="shared" si="132"/>
        <v>-3842291122.6305141</v>
      </c>
      <c r="AN60">
        <f t="shared" si="133"/>
        <v>-3861604095.6941009</v>
      </c>
      <c r="AO60">
        <f t="shared" si="134"/>
        <v>-3861458407.4707189</v>
      </c>
      <c r="AP60">
        <f t="shared" si="135"/>
        <v>-3841911436.757268</v>
      </c>
      <c r="AQ60">
        <f t="shared" si="136"/>
        <v>-3802444427.5305095</v>
      </c>
      <c r="AR60">
        <f t="shared" si="120"/>
        <v>-3741960736.5322227</v>
      </c>
      <c r="AS60">
        <f t="shared" si="121"/>
        <v>-3658777354.3740134</v>
      </c>
      <c r="AT60" s="2"/>
      <c r="AU60" s="2"/>
      <c r="AV60" s="2"/>
      <c r="AW60" s="2"/>
      <c r="AX60" s="2"/>
      <c r="AZ60" s="11"/>
      <c r="BA60" s="2"/>
      <c r="BB60" s="2"/>
      <c r="BC60" s="2"/>
      <c r="BD60" s="2"/>
      <c r="BE60" s="2"/>
      <c r="BF60">
        <v>0</v>
      </c>
      <c r="BG60">
        <f t="shared" si="137"/>
        <v>0.48123195380173245</v>
      </c>
      <c r="BH60">
        <f t="shared" si="137"/>
        <v>0.62626503729260619</v>
      </c>
      <c r="BI60">
        <f t="shared" ref="BI60:BN60" si="139">$C$15/($C$16-$C$17*BH60)</f>
        <v>0.68883096824716772</v>
      </c>
      <c r="BJ60">
        <f t="shared" si="139"/>
        <v>0.71985480322593665</v>
      </c>
      <c r="BK60">
        <f t="shared" si="139"/>
        <v>0.73629830034023724</v>
      </c>
      <c r="BL60">
        <f t="shared" si="139"/>
        <v>0.74532215339190988</v>
      </c>
      <c r="BM60">
        <f t="shared" si="139"/>
        <v>0.75036889263611883</v>
      </c>
      <c r="BN60">
        <f t="shared" si="139"/>
        <v>0.75322127845104569</v>
      </c>
      <c r="BO60">
        <f t="shared" ref="BO60" si="140">$C$15/($C$16-$C$17*BN60)</f>
        <v>0.75484304188610662</v>
      </c>
      <c r="BP60">
        <f t="shared" si="137"/>
        <v>0.7557682358602863</v>
      </c>
      <c r="BQ60" s="2"/>
      <c r="BR60" s="2"/>
      <c r="BS60" s="2"/>
      <c r="BT60" s="2"/>
      <c r="BU60" s="2"/>
    </row>
    <row r="61" spans="3:73" x14ac:dyDescent="0.3">
      <c r="C61" s="11"/>
      <c r="D61">
        <v>28</v>
      </c>
      <c r="E61">
        <f t="shared" si="102"/>
        <v>5.4000000000000034E-2</v>
      </c>
      <c r="F61" s="2"/>
      <c r="G61" s="2"/>
      <c r="H61" s="2"/>
      <c r="I61" s="2"/>
      <c r="J61" s="2"/>
      <c r="K61" s="2"/>
      <c r="L61" s="2">
        <f t="shared" si="103"/>
        <v>873</v>
      </c>
      <c r="M61" s="2">
        <f t="shared" ref="M61" si="141">BH61*N61+BH23</f>
        <v>904.90054243088173</v>
      </c>
      <c r="N61" s="2">
        <f t="shared" ref="N61" si="142">BI61*O61+BI23</f>
        <v>928.88968088990077</v>
      </c>
      <c r="O61" s="2">
        <f t="shared" ref="O61" si="143">BJ61*P61+BJ23</f>
        <v>945.36366260408863</v>
      </c>
      <c r="P61" s="2">
        <f t="shared" ref="P61" si="144">BK61*Q61+BK23</f>
        <v>954.63444735293274</v>
      </c>
      <c r="Q61" s="2">
        <f t="shared" ref="Q61" si="145">BL61*R61+BL23</f>
        <v>956.9277600419623</v>
      </c>
      <c r="R61" s="2">
        <f t="shared" ref="R61" si="146">BM61*S61+BM23</f>
        <v>952.38593846026527</v>
      </c>
      <c r="S61" s="2">
        <f t="shared" ref="S61" si="147">BN61*T61+BN23</f>
        <v>941.07553174573388</v>
      </c>
      <c r="T61" s="2">
        <f t="shared" si="105"/>
        <v>923</v>
      </c>
      <c r="U61" s="2"/>
      <c r="V61" s="2"/>
      <c r="W61" s="2"/>
      <c r="X61" s="2"/>
      <c r="Y61" s="2"/>
      <c r="Z61" s="2"/>
      <c r="AC61" s="11"/>
      <c r="AD61" s="2"/>
      <c r="AE61" s="2"/>
      <c r="AF61" s="2"/>
      <c r="AG61" s="2"/>
      <c r="AH61" s="2"/>
      <c r="AI61" s="2"/>
      <c r="AJ61">
        <f t="shared" ref="AJ61" si="148">(-($C$8*$C$7)/$C$4)*L22</f>
        <v>-3518022925.1734223</v>
      </c>
      <c r="AK61">
        <f t="shared" ref="AK61" si="149">(-($C$8*$C$7)/$C$4)*M22</f>
        <v>-3610707728.9476838</v>
      </c>
      <c r="AL61">
        <f t="shared" ref="AL61" si="150">(-($C$8*$C$7)/$C$4)*N22</f>
        <v>-3678553385.2952065</v>
      </c>
      <c r="AM61">
        <f t="shared" ref="AM61" si="151">(-($C$8*$C$7)/$C$4)*O22</f>
        <v>-3723311881.8292823</v>
      </c>
      <c r="AN61">
        <f t="shared" ref="AN61" si="152">(-($C$8*$C$7)/$C$4)*P22</f>
        <v>-3746192111.8537884</v>
      </c>
      <c r="AO61">
        <f t="shared" ref="AO61" si="153">(-($C$8*$C$7)/$C$4)*Q22</f>
        <v>-3747872979.4839892</v>
      </c>
      <c r="AP61">
        <f t="shared" ref="AP61" si="154">(-($C$8*$C$7)/$C$4)*R22</f>
        <v>-3728515663.3058133</v>
      </c>
      <c r="AQ61">
        <f t="shared" ref="AQ61" si="155">(-($C$8*$C$7)/$C$4)*S22</f>
        <v>-3687774759.3390059</v>
      </c>
      <c r="AR61">
        <f t="shared" ref="AR61" si="156">(-($C$8*$C$7)/$C$4)*T22</f>
        <v>-3624808952.8975687</v>
      </c>
      <c r="AS61" s="2"/>
      <c r="AT61" s="2"/>
      <c r="AU61" s="2"/>
      <c r="AV61" s="2"/>
      <c r="AW61" s="2"/>
      <c r="AX61" s="2"/>
      <c r="AZ61" s="11"/>
      <c r="BA61" s="2"/>
      <c r="BB61" s="2"/>
      <c r="BC61" s="2"/>
      <c r="BD61" s="2"/>
      <c r="BE61" s="2"/>
      <c r="BF61" s="2"/>
      <c r="BG61">
        <v>0</v>
      </c>
      <c r="BH61">
        <f t="shared" ref="BH61:BN61" si="157">$C$15/($C$16-$C$17*BG61)</f>
        <v>0.48123195380173245</v>
      </c>
      <c r="BI61">
        <f t="shared" si="157"/>
        <v>0.62626503729260619</v>
      </c>
      <c r="BJ61">
        <f t="shared" si="157"/>
        <v>0.68883096824716772</v>
      </c>
      <c r="BK61">
        <f t="shared" si="157"/>
        <v>0.71985480322593665</v>
      </c>
      <c r="BL61">
        <f t="shared" si="157"/>
        <v>0.73629830034023724</v>
      </c>
      <c r="BM61">
        <f t="shared" si="157"/>
        <v>0.74532215339190988</v>
      </c>
      <c r="BN61">
        <f t="shared" si="157"/>
        <v>0.75036889263611883</v>
      </c>
      <c r="BO61">
        <f t="shared" ref="BO61" si="158">$C$15/($C$16-$C$17*BN61)</f>
        <v>0.75322127845104569</v>
      </c>
      <c r="BP61" s="2"/>
      <c r="BQ61" s="2"/>
      <c r="BR61" s="2"/>
      <c r="BS61" s="2"/>
      <c r="BT61" s="2"/>
      <c r="BU61" s="2"/>
    </row>
    <row r="62" spans="3:73" x14ac:dyDescent="0.3">
      <c r="C62" s="11"/>
      <c r="D62">
        <v>27</v>
      </c>
      <c r="E62">
        <f t="shared" si="102"/>
        <v>5.2000000000000032E-2</v>
      </c>
      <c r="F62" s="2"/>
      <c r="G62" s="2"/>
      <c r="H62" s="2"/>
      <c r="I62" s="2"/>
      <c r="J62" s="2"/>
      <c r="K62" s="2"/>
      <c r="L62" s="2"/>
      <c r="M62" s="2">
        <f t="shared" si="103"/>
        <v>873</v>
      </c>
      <c r="N62" s="2">
        <f t="shared" ref="N62:N88" si="159">BI62*O62+BI24</f>
        <v>898.38571033944845</v>
      </c>
      <c r="O62" s="2">
        <f t="shared" ref="O62:O88" si="160">BJ62*P62+BJ24</f>
        <v>916.5516301425323</v>
      </c>
      <c r="P62" s="2">
        <f t="shared" ref="P62:P88" si="161">BK62*Q62+BK24</f>
        <v>927.82335121433744</v>
      </c>
      <c r="Q62" s="2">
        <f t="shared" ref="Q62:Q88" si="162">BL62*R62+BL24</f>
        <v>932.48833429143474</v>
      </c>
      <c r="R62" s="2">
        <f t="shared" ref="R62:R88" si="163">BM62*S62+BM24</f>
        <v>930.80191141258706</v>
      </c>
      <c r="S62" s="2">
        <f t="shared" si="105"/>
        <v>923</v>
      </c>
      <c r="T62" s="2"/>
      <c r="U62" s="2"/>
      <c r="V62" s="2"/>
      <c r="W62" s="2"/>
      <c r="X62" s="2"/>
      <c r="Y62" s="2"/>
      <c r="Z62" s="2"/>
      <c r="AC62" s="11"/>
      <c r="AD62" s="2"/>
      <c r="AE62" s="2"/>
      <c r="AF62" s="2"/>
      <c r="AG62" s="2"/>
      <c r="AH62" s="2"/>
      <c r="AI62" s="2"/>
      <c r="AJ62" s="2"/>
      <c r="AK62">
        <f t="shared" si="130"/>
        <v>-3481141273.4513359</v>
      </c>
      <c r="AL62">
        <f t="shared" si="131"/>
        <v>-3555518293.3707013</v>
      </c>
      <c r="AM62">
        <f t="shared" si="132"/>
        <v>-3605720390.5902371</v>
      </c>
      <c r="AN62">
        <f t="shared" si="133"/>
        <v>-3632940131.9136066</v>
      </c>
      <c r="AO62">
        <f t="shared" si="134"/>
        <v>-3637932817.4111385</v>
      </c>
      <c r="AP62">
        <f t="shared" si="135"/>
        <v>-3621029730.7003732</v>
      </c>
      <c r="AQ62">
        <f t="shared" si="136"/>
        <v>-3582157164.0196624</v>
      </c>
      <c r="AR62" s="2"/>
      <c r="AS62" s="2"/>
      <c r="AT62" s="2"/>
      <c r="AU62" s="2"/>
      <c r="AV62" s="2"/>
      <c r="AW62" s="2"/>
      <c r="AX62" s="2"/>
      <c r="AZ62" s="11"/>
      <c r="BA62" s="2"/>
      <c r="BB62" s="2"/>
      <c r="BC62" s="2"/>
      <c r="BD62" s="2"/>
      <c r="BE62" s="2"/>
      <c r="BF62" s="2"/>
      <c r="BG62" s="2"/>
      <c r="BH62">
        <v>0</v>
      </c>
      <c r="BI62">
        <f t="shared" ref="BI62:BN62" si="164">$C$15/($C$16-$C$17*BH62)</f>
        <v>0.48123195380173245</v>
      </c>
      <c r="BJ62">
        <f t="shared" si="164"/>
        <v>0.62626503729260619</v>
      </c>
      <c r="BK62">
        <f t="shared" si="164"/>
        <v>0.68883096824716772</v>
      </c>
      <c r="BL62">
        <f t="shared" si="164"/>
        <v>0.71985480322593665</v>
      </c>
      <c r="BM62">
        <f t="shared" si="164"/>
        <v>0.73629830034023724</v>
      </c>
      <c r="BN62">
        <f t="shared" si="164"/>
        <v>0.74532215339190988</v>
      </c>
      <c r="BO62" s="2"/>
      <c r="BP62" s="2"/>
      <c r="BQ62" s="2"/>
      <c r="BR62" s="2"/>
      <c r="BS62" s="2"/>
      <c r="BT62" s="2"/>
      <c r="BU62" s="2"/>
    </row>
    <row r="63" spans="3:73" x14ac:dyDescent="0.3">
      <c r="C63" s="11"/>
      <c r="D63">
        <v>26</v>
      </c>
      <c r="E63">
        <f t="shared" si="102"/>
        <v>5.0000000000000031E-2</v>
      </c>
      <c r="F63" s="2"/>
      <c r="G63" s="2"/>
      <c r="H63" s="2"/>
      <c r="I63" s="2"/>
      <c r="J63" s="2"/>
      <c r="K63" s="2"/>
      <c r="L63" s="2"/>
      <c r="M63" s="2">
        <f t="shared" si="103"/>
        <v>873</v>
      </c>
      <c r="N63" s="2">
        <f t="shared" si="159"/>
        <v>894.1335331690766</v>
      </c>
      <c r="O63" s="2">
        <f t="shared" si="160"/>
        <v>909.96022692846839</v>
      </c>
      <c r="P63" s="2">
        <f t="shared" si="161"/>
        <v>920.55822478522555</v>
      </c>
      <c r="Q63" s="2">
        <f t="shared" si="162"/>
        <v>926.08891747329858</v>
      </c>
      <c r="R63" s="2">
        <f t="shared" si="163"/>
        <v>926.79324935935688</v>
      </c>
      <c r="S63" s="2">
        <f t="shared" si="105"/>
        <v>923</v>
      </c>
      <c r="T63" s="2"/>
      <c r="U63" s="2"/>
      <c r="V63" s="2"/>
      <c r="W63" s="2"/>
      <c r="X63" s="2"/>
      <c r="Y63" s="2"/>
      <c r="Z63" s="2"/>
      <c r="AC63" s="11"/>
      <c r="AD63" s="2"/>
      <c r="AE63" s="2"/>
      <c r="AF63" s="2"/>
      <c r="AG63" s="2"/>
      <c r="AH63" s="2"/>
      <c r="AI63" s="2"/>
      <c r="AJ63" s="2"/>
      <c r="AK63">
        <f t="shared" si="130"/>
        <v>-3375461012.3717885</v>
      </c>
      <c r="AL63">
        <f t="shared" si="131"/>
        <v>-3452265729.8561468</v>
      </c>
      <c r="AM63">
        <f t="shared" si="132"/>
        <v>-3505457305.74054</v>
      </c>
      <c r="AN63">
        <f t="shared" si="133"/>
        <v>-3536058948.2888575</v>
      </c>
      <c r="AO63">
        <f t="shared" si="134"/>
        <v>-3544819632.7868767</v>
      </c>
      <c r="AP63">
        <f t="shared" si="135"/>
        <v>-3532222915.9904718</v>
      </c>
      <c r="AQ63">
        <f t="shared" si="136"/>
        <v>-3498510497.5436292</v>
      </c>
      <c r="AR63" s="2"/>
      <c r="AS63" s="2"/>
      <c r="AT63" s="2"/>
      <c r="AU63" s="2"/>
      <c r="AV63" s="2"/>
      <c r="AW63" s="2"/>
      <c r="AX63" s="2"/>
      <c r="AZ63" s="11"/>
      <c r="BA63" s="2"/>
      <c r="BB63" s="2"/>
      <c r="BC63" s="2"/>
      <c r="BD63" s="2"/>
      <c r="BE63" s="2"/>
      <c r="BF63" s="2"/>
      <c r="BG63" s="2"/>
      <c r="BH63">
        <v>0</v>
      </c>
      <c r="BI63">
        <f t="shared" ref="BI63:BN63" si="165">$C$15/($C$16-$C$17*BH63)</f>
        <v>0.48123195380173245</v>
      </c>
      <c r="BJ63">
        <f t="shared" si="165"/>
        <v>0.62626503729260619</v>
      </c>
      <c r="BK63">
        <f t="shared" si="165"/>
        <v>0.68883096824716772</v>
      </c>
      <c r="BL63">
        <f t="shared" si="165"/>
        <v>0.71985480322593665</v>
      </c>
      <c r="BM63">
        <f t="shared" si="165"/>
        <v>0.73629830034023724</v>
      </c>
      <c r="BN63">
        <f t="shared" si="165"/>
        <v>0.74532215339190988</v>
      </c>
      <c r="BO63" s="2"/>
      <c r="BP63" s="2"/>
      <c r="BQ63" s="2"/>
      <c r="BR63" s="2"/>
      <c r="BS63" s="2"/>
      <c r="BT63" s="2"/>
      <c r="BU63" s="2"/>
    </row>
    <row r="64" spans="3:73" x14ac:dyDescent="0.3">
      <c r="C64" s="11"/>
      <c r="D64">
        <v>25</v>
      </c>
      <c r="E64">
        <f t="shared" si="102"/>
        <v>4.8000000000000029E-2</v>
      </c>
      <c r="F64" s="2"/>
      <c r="G64" s="2"/>
      <c r="H64" s="2"/>
      <c r="I64" s="2"/>
      <c r="J64" s="2"/>
      <c r="K64" s="2"/>
      <c r="L64" s="2"/>
      <c r="M64" s="2">
        <f t="shared" si="103"/>
        <v>873</v>
      </c>
      <c r="N64" s="2">
        <f t="shared" si="159"/>
        <v>890.77828155540078</v>
      </c>
      <c r="O64" s="2">
        <f t="shared" si="160"/>
        <v>904.73365588864317</v>
      </c>
      <c r="P64" s="2">
        <f t="shared" si="161"/>
        <v>914.78892771418089</v>
      </c>
      <c r="Q64" s="2">
        <f t="shared" si="162"/>
        <v>921.0173614975339</v>
      </c>
      <c r="R64" s="2">
        <f t="shared" si="163"/>
        <v>923.63405889427963</v>
      </c>
      <c r="S64" s="2">
        <f t="shared" si="105"/>
        <v>923</v>
      </c>
      <c r="T64" s="2"/>
      <c r="U64" s="2"/>
      <c r="V64" s="2"/>
      <c r="W64" s="2"/>
      <c r="X64" s="2"/>
      <c r="Y64" s="2"/>
      <c r="Z64" s="2"/>
      <c r="AC64" s="11"/>
      <c r="AD64" s="2"/>
      <c r="AE64" s="2"/>
      <c r="AF64" s="2"/>
      <c r="AG64" s="2"/>
      <c r="AH64" s="2"/>
      <c r="AI64" s="2"/>
      <c r="AJ64" s="2"/>
      <c r="AK64">
        <f t="shared" si="130"/>
        <v>-3296695291.702167</v>
      </c>
      <c r="AL64">
        <f t="shared" si="131"/>
        <v>-3371966206.4400721</v>
      </c>
      <c r="AM64">
        <f t="shared" si="132"/>
        <v>-3425589072.6828732</v>
      </c>
      <c r="AN64">
        <f t="shared" si="133"/>
        <v>-3458297222.5789709</v>
      </c>
      <c r="AO64">
        <f t="shared" si="134"/>
        <v>-3470750166.8370862</v>
      </c>
      <c r="AP64">
        <f t="shared" si="135"/>
        <v>-3463533792.6998429</v>
      </c>
      <c r="AQ64">
        <f t="shared" si="136"/>
        <v>-3437183802.0519128</v>
      </c>
      <c r="AR64" s="2"/>
      <c r="AS64" s="2"/>
      <c r="AT64" s="2"/>
      <c r="AU64" s="2"/>
      <c r="AV64" s="2"/>
      <c r="AW64" s="2"/>
      <c r="AX64" s="2"/>
      <c r="AZ64" s="11"/>
      <c r="BA64" s="2"/>
      <c r="BB64" s="2"/>
      <c r="BC64" s="2"/>
      <c r="BD64" s="2"/>
      <c r="BE64" s="2"/>
      <c r="BF64" s="2"/>
      <c r="BG64" s="2"/>
      <c r="BH64">
        <v>0</v>
      </c>
      <c r="BI64">
        <f t="shared" ref="BI64:BN64" si="166">$C$15/($C$16-$C$17*BH64)</f>
        <v>0.48123195380173245</v>
      </c>
      <c r="BJ64">
        <f t="shared" si="166"/>
        <v>0.62626503729260619</v>
      </c>
      <c r="BK64">
        <f t="shared" si="166"/>
        <v>0.68883096824716772</v>
      </c>
      <c r="BL64">
        <f t="shared" si="166"/>
        <v>0.71985480322593665</v>
      </c>
      <c r="BM64">
        <f t="shared" si="166"/>
        <v>0.73629830034023724</v>
      </c>
      <c r="BN64">
        <f t="shared" si="166"/>
        <v>0.74532215339190988</v>
      </c>
      <c r="BO64" s="2"/>
      <c r="BP64" s="2"/>
      <c r="BQ64" s="2"/>
      <c r="BR64" s="2"/>
      <c r="BS64" s="2"/>
      <c r="BT64" s="2"/>
      <c r="BU64" s="2"/>
    </row>
    <row r="65" spans="1:73" x14ac:dyDescent="0.3">
      <c r="C65" s="11"/>
      <c r="D65">
        <v>24</v>
      </c>
      <c r="E65">
        <f t="shared" si="102"/>
        <v>4.6000000000000027E-2</v>
      </c>
      <c r="F65" s="2"/>
      <c r="G65" s="2"/>
      <c r="H65" s="2"/>
      <c r="I65" s="2"/>
      <c r="J65" s="2"/>
      <c r="K65" s="2"/>
      <c r="L65" s="2"/>
      <c r="M65" s="2">
        <f t="shared" si="103"/>
        <v>873</v>
      </c>
      <c r="N65" s="2">
        <f t="shared" si="159"/>
        <v>888.22887278565167</v>
      </c>
      <c r="O65" s="2">
        <f t="shared" si="160"/>
        <v>900.73807450821778</v>
      </c>
      <c r="P65" s="2">
        <f t="shared" si="161"/>
        <v>910.3686450202058</v>
      </c>
      <c r="Q65" s="2">
        <f t="shared" si="162"/>
        <v>917.13831225999888</v>
      </c>
      <c r="R65" s="2">
        <f t="shared" si="163"/>
        <v>921.2315114988636</v>
      </c>
      <c r="S65" s="2">
        <f t="shared" si="105"/>
        <v>923</v>
      </c>
      <c r="T65" s="2"/>
      <c r="U65" s="2"/>
      <c r="V65" s="2"/>
      <c r="W65" s="2"/>
      <c r="X65" s="2"/>
      <c r="Y65" s="2"/>
      <c r="Z65" s="2"/>
      <c r="AC65" s="11"/>
      <c r="AD65" s="2"/>
      <c r="AE65" s="2"/>
      <c r="AF65" s="2"/>
      <c r="AG65" s="2"/>
      <c r="AH65" s="2"/>
      <c r="AI65" s="2"/>
      <c r="AJ65" s="2"/>
      <c r="AK65">
        <f t="shared" si="130"/>
        <v>-3241015868.7367754</v>
      </c>
      <c r="AL65">
        <f t="shared" si="131"/>
        <v>-3312070064.4568567</v>
      </c>
      <c r="AM65">
        <f t="shared" si="132"/>
        <v>-3364265247.0220833</v>
      </c>
      <c r="AN65">
        <f t="shared" si="133"/>
        <v>-3398004248.853457</v>
      </c>
      <c r="AO65">
        <f t="shared" si="134"/>
        <v>-3413809792.4315844</v>
      </c>
      <c r="AP65">
        <f t="shared" si="135"/>
        <v>-3412315357.1934252</v>
      </c>
      <c r="AQ65">
        <f t="shared" si="136"/>
        <v>-3394284760.5970802</v>
      </c>
      <c r="AR65" s="2"/>
      <c r="AS65" s="2"/>
      <c r="AT65" s="2"/>
      <c r="AU65" s="2"/>
      <c r="AV65" s="2"/>
      <c r="AW65" s="2"/>
      <c r="AX65" s="2"/>
      <c r="AZ65" s="11"/>
      <c r="BA65" s="2"/>
      <c r="BB65" s="2"/>
      <c r="BC65" s="2"/>
      <c r="BD65" s="2"/>
      <c r="BE65" s="2"/>
      <c r="BF65" s="2"/>
      <c r="BG65" s="2"/>
      <c r="BH65">
        <v>0</v>
      </c>
      <c r="BI65">
        <f t="shared" ref="BI65:BN65" si="167">$C$15/($C$16-$C$17*BH65)</f>
        <v>0.48123195380173245</v>
      </c>
      <c r="BJ65">
        <f t="shared" si="167"/>
        <v>0.62626503729260619</v>
      </c>
      <c r="BK65">
        <f t="shared" si="167"/>
        <v>0.68883096824716772</v>
      </c>
      <c r="BL65">
        <f t="shared" si="167"/>
        <v>0.71985480322593665</v>
      </c>
      <c r="BM65">
        <f t="shared" si="167"/>
        <v>0.73629830034023724</v>
      </c>
      <c r="BN65">
        <f t="shared" si="167"/>
        <v>0.74532215339190988</v>
      </c>
      <c r="BO65" s="2"/>
      <c r="BP65" s="2"/>
      <c r="BQ65" s="2"/>
      <c r="BR65" s="2"/>
      <c r="BS65" s="2"/>
      <c r="BT65" s="2"/>
      <c r="BU65" s="2"/>
    </row>
    <row r="66" spans="1:73" x14ac:dyDescent="0.3">
      <c r="C66" s="11"/>
      <c r="D66">
        <v>23</v>
      </c>
      <c r="E66">
        <f t="shared" si="102"/>
        <v>4.4000000000000025E-2</v>
      </c>
      <c r="F66" s="2"/>
      <c r="G66" s="2"/>
      <c r="H66" s="2"/>
      <c r="I66" s="2"/>
      <c r="J66" s="2"/>
      <c r="K66" s="2"/>
      <c r="L66" s="2"/>
      <c r="M66" s="2">
        <f t="shared" si="103"/>
        <v>873</v>
      </c>
      <c r="N66" s="2">
        <f t="shared" si="159"/>
        <v>886.33424545886203</v>
      </c>
      <c r="O66" s="2">
        <f t="shared" si="160"/>
        <v>897.74848613129916</v>
      </c>
      <c r="P66" s="2">
        <f t="shared" si="161"/>
        <v>907.05257388738733</v>
      </c>
      <c r="Q66" s="2">
        <f t="shared" si="162"/>
        <v>914.23272527170536</v>
      </c>
      <c r="R66" s="2">
        <f t="shared" si="163"/>
        <v>919.4423052186379</v>
      </c>
      <c r="S66" s="2">
        <f t="shared" si="105"/>
        <v>923</v>
      </c>
      <c r="T66" s="2"/>
      <c r="U66" s="2"/>
      <c r="V66" s="2"/>
      <c r="W66" s="2"/>
      <c r="X66" s="2"/>
      <c r="Y66" s="2"/>
      <c r="Z66" s="2"/>
      <c r="AC66" s="11"/>
      <c r="AD66" s="2"/>
      <c r="AE66" s="2"/>
      <c r="AF66" s="2"/>
      <c r="AG66" s="2"/>
      <c r="AH66" s="2"/>
      <c r="AI66" s="2"/>
      <c r="AJ66" s="2"/>
      <c r="AK66">
        <f t="shared" si="130"/>
        <v>-3203004240.6688147</v>
      </c>
      <c r="AL66">
        <f t="shared" si="131"/>
        <v>-3268487492.8819408</v>
      </c>
      <c r="AM66">
        <f t="shared" si="132"/>
        <v>-3318188602.3911619</v>
      </c>
      <c r="AN66">
        <f t="shared" si="133"/>
        <v>-3352205708.2093744</v>
      </c>
      <c r="AO66">
        <f t="shared" si="134"/>
        <v>-3370913304.3946033</v>
      </c>
      <c r="AP66">
        <f t="shared" si="135"/>
        <v>-3374945708.7407165</v>
      </c>
      <c r="AQ66">
        <f t="shared" si="136"/>
        <v>-3365210666.436564</v>
      </c>
      <c r="AR66" s="2"/>
      <c r="AS66" s="2"/>
      <c r="AT66" s="2"/>
      <c r="AU66" s="2"/>
      <c r="AV66" s="2"/>
      <c r="AW66" s="2"/>
      <c r="AX66" s="2"/>
      <c r="AZ66" s="11"/>
      <c r="BA66" s="2"/>
      <c r="BB66" s="2"/>
      <c r="BC66" s="2"/>
      <c r="BD66" s="2"/>
      <c r="BE66" s="2"/>
      <c r="BF66" s="2"/>
      <c r="BG66" s="2"/>
      <c r="BH66">
        <v>0</v>
      </c>
      <c r="BI66">
        <f t="shared" ref="BI66:BN66" si="168">$C$15/($C$16-$C$17*BH66)</f>
        <v>0.48123195380173245</v>
      </c>
      <c r="BJ66">
        <f t="shared" si="168"/>
        <v>0.62626503729260619</v>
      </c>
      <c r="BK66">
        <f t="shared" si="168"/>
        <v>0.68883096824716772</v>
      </c>
      <c r="BL66">
        <f t="shared" si="168"/>
        <v>0.71985480322593665</v>
      </c>
      <c r="BM66">
        <f t="shared" si="168"/>
        <v>0.73629830034023724</v>
      </c>
      <c r="BN66">
        <f t="shared" si="168"/>
        <v>0.74532215339190988</v>
      </c>
      <c r="BO66" s="2"/>
      <c r="BP66" s="2"/>
      <c r="BQ66" s="2"/>
      <c r="BR66" s="2"/>
      <c r="BS66" s="2"/>
      <c r="BT66" s="2"/>
      <c r="BU66" s="2"/>
    </row>
    <row r="67" spans="1:73" x14ac:dyDescent="0.3">
      <c r="C67" s="11"/>
      <c r="D67">
        <v>22</v>
      </c>
      <c r="E67">
        <f t="shared" si="102"/>
        <v>4.2000000000000023E-2</v>
      </c>
      <c r="F67" s="2"/>
      <c r="G67" s="2"/>
      <c r="H67" s="2"/>
      <c r="I67" s="2"/>
      <c r="J67" s="2"/>
      <c r="K67" s="2"/>
      <c r="L67" s="2"/>
      <c r="M67" s="2">
        <f t="shared" si="103"/>
        <v>873</v>
      </c>
      <c r="N67" s="2">
        <f t="shared" si="159"/>
        <v>884.94519161420362</v>
      </c>
      <c r="O67" s="2">
        <f t="shared" si="160"/>
        <v>895.54098599799693</v>
      </c>
      <c r="P67" s="2">
        <f t="shared" si="161"/>
        <v>904.59703704022377</v>
      </c>
      <c r="Q67" s="2">
        <f t="shared" si="162"/>
        <v>912.08416269349675</v>
      </c>
      <c r="R67" s="2">
        <f t="shared" si="163"/>
        <v>918.1268692090423</v>
      </c>
      <c r="S67" s="2">
        <f t="shared" si="105"/>
        <v>923</v>
      </c>
      <c r="T67" s="2"/>
      <c r="U67" s="2"/>
      <c r="V67" s="2"/>
      <c r="W67" s="2"/>
      <c r="X67" s="2"/>
      <c r="Y67" s="2"/>
      <c r="Z67" s="2"/>
      <c r="AC67" s="11"/>
      <c r="AD67" s="2"/>
      <c r="AE67" s="2"/>
      <c r="AF67" s="2"/>
      <c r="AG67" s="2"/>
      <c r="AH67" s="2"/>
      <c r="AI67" s="2"/>
      <c r="AJ67" s="2"/>
      <c r="AK67">
        <f t="shared" si="130"/>
        <v>-3177687199.4486589</v>
      </c>
      <c r="AL67">
        <f t="shared" si="131"/>
        <v>-3237255620.1106424</v>
      </c>
      <c r="AM67">
        <f t="shared" si="132"/>
        <v>-3284029251.4728703</v>
      </c>
      <c r="AN67">
        <f t="shared" si="133"/>
        <v>-3317864736.7921963</v>
      </c>
      <c r="AO67">
        <f t="shared" si="134"/>
        <v>-3339001256.0797338</v>
      </c>
      <c r="AP67">
        <f t="shared" si="135"/>
        <v>-3348039690.0530872</v>
      </c>
      <c r="AQ67">
        <f t="shared" si="136"/>
        <v>-3345949634.2435503</v>
      </c>
      <c r="AR67" s="2"/>
      <c r="AS67" s="2"/>
      <c r="AT67" s="2"/>
      <c r="AU67" s="2"/>
      <c r="AV67" s="2"/>
      <c r="AW67" s="2"/>
      <c r="AX67" s="2"/>
      <c r="AZ67" s="11"/>
      <c r="BA67" s="2"/>
      <c r="BB67" s="2"/>
      <c r="BC67" s="2"/>
      <c r="BD67" s="2"/>
      <c r="BE67" s="2"/>
      <c r="BF67" s="2"/>
      <c r="BG67" s="2"/>
      <c r="BH67">
        <v>0</v>
      </c>
      <c r="BI67">
        <f t="shared" ref="BI67:BN67" si="169">$C$15/($C$16-$C$17*BH67)</f>
        <v>0.48123195380173245</v>
      </c>
      <c r="BJ67">
        <f t="shared" si="169"/>
        <v>0.62626503729260619</v>
      </c>
      <c r="BK67">
        <f t="shared" si="169"/>
        <v>0.68883096824716772</v>
      </c>
      <c r="BL67">
        <f t="shared" si="169"/>
        <v>0.71985480322593665</v>
      </c>
      <c r="BM67">
        <f t="shared" si="169"/>
        <v>0.73629830034023724</v>
      </c>
      <c r="BN67">
        <f t="shared" si="169"/>
        <v>0.74532215339190988</v>
      </c>
      <c r="BO67" s="2"/>
      <c r="BP67" s="2"/>
      <c r="BQ67" s="2"/>
      <c r="BR67" s="2"/>
      <c r="BS67" s="2"/>
      <c r="BT67" s="2"/>
      <c r="BU67" s="2"/>
    </row>
    <row r="68" spans="1:73" x14ac:dyDescent="0.3">
      <c r="C68" s="11"/>
      <c r="D68">
        <v>21</v>
      </c>
      <c r="E68">
        <f t="shared" si="102"/>
        <v>4.0000000000000022E-2</v>
      </c>
      <c r="F68" s="2"/>
      <c r="G68" s="2"/>
      <c r="H68" s="2"/>
      <c r="I68" s="2"/>
      <c r="J68" s="2"/>
      <c r="K68" s="2"/>
      <c r="L68" s="2"/>
      <c r="M68" s="2">
        <f t="shared" si="103"/>
        <v>873</v>
      </c>
      <c r="N68" s="2">
        <f t="shared" si="159"/>
        <v>883.93536445543441</v>
      </c>
      <c r="O68" s="2">
        <f t="shared" si="160"/>
        <v>893.92455147748797</v>
      </c>
      <c r="P68" s="2">
        <f t="shared" si="161"/>
        <v>902.79373282126198</v>
      </c>
      <c r="Q68" s="2">
        <f t="shared" si="162"/>
        <v>910.50832536403561</v>
      </c>
      <c r="R68" s="2">
        <f t="shared" si="163"/>
        <v>917.16748952844318</v>
      </c>
      <c r="S68" s="2">
        <f t="shared" si="105"/>
        <v>923</v>
      </c>
      <c r="T68" s="2"/>
      <c r="U68" s="2"/>
      <c r="V68" s="2"/>
      <c r="W68" s="2"/>
      <c r="X68" s="2"/>
      <c r="Y68" s="2"/>
      <c r="Z68" s="2"/>
      <c r="AC68" s="11"/>
      <c r="AD68" s="2"/>
      <c r="AE68" s="2"/>
      <c r="AF68" s="2"/>
      <c r="AG68" s="2"/>
      <c r="AH68" s="2"/>
      <c r="AI68" s="2"/>
      <c r="AJ68" s="2"/>
      <c r="AK68">
        <f t="shared" si="130"/>
        <v>-3161132916.7945528</v>
      </c>
      <c r="AL68">
        <f t="shared" si="131"/>
        <v>-3215084249.6016054</v>
      </c>
      <c r="AM68">
        <f t="shared" si="132"/>
        <v>-3258921551.9020977</v>
      </c>
      <c r="AN68">
        <f t="shared" si="133"/>
        <v>-3292334998.208704</v>
      </c>
      <c r="AO68">
        <f t="shared" si="134"/>
        <v>-3315453576.8109961</v>
      </c>
      <c r="AP68">
        <f t="shared" si="135"/>
        <v>-3328823022.2991867</v>
      </c>
      <c r="AQ68">
        <f t="shared" si="136"/>
        <v>-3333406719.5151005</v>
      </c>
      <c r="AR68" s="2"/>
      <c r="AS68" s="2"/>
      <c r="AT68" s="2"/>
      <c r="AU68" s="2"/>
      <c r="AV68" s="2"/>
      <c r="AW68" s="2"/>
      <c r="AX68" s="2"/>
      <c r="AZ68" s="11"/>
      <c r="BA68" s="2"/>
      <c r="BB68" s="2"/>
      <c r="BC68" s="2"/>
      <c r="BD68" s="2"/>
      <c r="BE68" s="2"/>
      <c r="BF68" s="2"/>
      <c r="BG68" s="2"/>
      <c r="BH68">
        <v>0</v>
      </c>
      <c r="BI68">
        <f t="shared" ref="BI68:BN68" si="170">$C$15/($C$16-$C$17*BH68)</f>
        <v>0.48123195380173245</v>
      </c>
      <c r="BJ68">
        <f t="shared" si="170"/>
        <v>0.62626503729260619</v>
      </c>
      <c r="BK68">
        <f t="shared" si="170"/>
        <v>0.68883096824716772</v>
      </c>
      <c r="BL68">
        <f t="shared" si="170"/>
        <v>0.71985480322593665</v>
      </c>
      <c r="BM68">
        <f t="shared" si="170"/>
        <v>0.73629830034023724</v>
      </c>
      <c r="BN68">
        <f t="shared" si="170"/>
        <v>0.74532215339190988</v>
      </c>
      <c r="BO68" s="2"/>
      <c r="BP68" s="2"/>
      <c r="BQ68" s="2"/>
      <c r="BR68" s="2"/>
      <c r="BS68" s="2"/>
      <c r="BT68" s="2"/>
      <c r="BU68" s="2"/>
    </row>
    <row r="69" spans="1:73" x14ac:dyDescent="0.3">
      <c r="C69" s="11"/>
      <c r="D69">
        <v>20</v>
      </c>
      <c r="E69">
        <f t="shared" si="102"/>
        <v>3.800000000000002E-2</v>
      </c>
      <c r="F69" s="2"/>
      <c r="G69" s="2"/>
      <c r="H69" s="2"/>
      <c r="I69" s="2"/>
      <c r="J69" s="2"/>
      <c r="K69" s="2"/>
      <c r="L69" s="2"/>
      <c r="M69" s="2">
        <f t="shared" si="103"/>
        <v>873</v>
      </c>
      <c r="N69" s="2">
        <f t="shared" si="159"/>
        <v>883.20508855392904</v>
      </c>
      <c r="O69" s="2">
        <f t="shared" si="160"/>
        <v>892.74727362375506</v>
      </c>
      <c r="P69" s="2">
        <f t="shared" si="161"/>
        <v>901.47655168180029</v>
      </c>
      <c r="Q69" s="2">
        <f t="shared" si="162"/>
        <v>909.35864858159744</v>
      </c>
      <c r="R69" s="2">
        <f t="shared" si="163"/>
        <v>916.47132145606793</v>
      </c>
      <c r="S69" s="2">
        <f t="shared" si="105"/>
        <v>923</v>
      </c>
      <c r="T69" s="2"/>
      <c r="U69" s="2"/>
      <c r="V69" s="2"/>
      <c r="W69" s="2"/>
      <c r="X69" s="2"/>
      <c r="Y69" s="2"/>
      <c r="Z69" s="2"/>
      <c r="AC69" s="11"/>
      <c r="AD69" s="2"/>
      <c r="AE69" s="2"/>
      <c r="AF69" s="2"/>
      <c r="AG69" s="2"/>
      <c r="AH69" s="2"/>
      <c r="AI69" s="2"/>
      <c r="AJ69" s="2"/>
      <c r="AK69">
        <f t="shared" si="130"/>
        <v>-3150461748.0407457</v>
      </c>
      <c r="AL69">
        <f t="shared" si="131"/>
        <v>-3199433418.0002413</v>
      </c>
      <c r="AM69">
        <f t="shared" si="132"/>
        <v>-3240570940.3039546</v>
      </c>
      <c r="AN69">
        <f t="shared" si="133"/>
        <v>-3273468200.7137089</v>
      </c>
      <c r="AO69">
        <f t="shared" si="134"/>
        <v>-3298172336.2757983</v>
      </c>
      <c r="AP69">
        <f t="shared" si="135"/>
        <v>-3315162840.5891356</v>
      </c>
      <c r="AQ69">
        <f t="shared" si="136"/>
        <v>-3325347466.8994327</v>
      </c>
      <c r="AR69" s="2"/>
      <c r="AS69" s="2"/>
      <c r="AT69" s="2"/>
      <c r="AU69" s="2"/>
      <c r="AV69" s="2"/>
      <c r="AW69" s="2"/>
      <c r="AX69" s="2"/>
      <c r="AZ69" s="11"/>
      <c r="BA69" s="2"/>
      <c r="BB69" s="2"/>
      <c r="BC69" s="2"/>
      <c r="BD69" s="2"/>
      <c r="BE69" s="2"/>
      <c r="BF69" s="2"/>
      <c r="BG69" s="2"/>
      <c r="BH69">
        <v>0</v>
      </c>
      <c r="BI69">
        <f t="shared" ref="BI69:BN69" si="171">$C$15/($C$16-$C$17*BH69)</f>
        <v>0.48123195380173245</v>
      </c>
      <c r="BJ69">
        <f t="shared" si="171"/>
        <v>0.62626503729260619</v>
      </c>
      <c r="BK69">
        <f t="shared" si="171"/>
        <v>0.68883096824716772</v>
      </c>
      <c r="BL69">
        <f t="shared" si="171"/>
        <v>0.71985480322593665</v>
      </c>
      <c r="BM69">
        <f t="shared" si="171"/>
        <v>0.73629830034023724</v>
      </c>
      <c r="BN69">
        <f t="shared" si="171"/>
        <v>0.74532215339190988</v>
      </c>
      <c r="BO69" s="2"/>
      <c r="BP69" s="2"/>
      <c r="BQ69" s="2"/>
      <c r="BR69" s="2"/>
      <c r="BS69" s="2"/>
      <c r="BT69" s="2"/>
      <c r="BU69" s="2"/>
    </row>
    <row r="70" spans="1:73" x14ac:dyDescent="0.3">
      <c r="C70" s="11"/>
      <c r="D70">
        <v>19</v>
      </c>
      <c r="E70">
        <f t="shared" si="102"/>
        <v>3.6000000000000018E-2</v>
      </c>
      <c r="F70" s="2"/>
      <c r="G70" s="2"/>
      <c r="H70" s="2"/>
      <c r="I70" s="2"/>
      <c r="J70" s="2"/>
      <c r="K70" s="2"/>
      <c r="L70" s="2"/>
      <c r="M70" s="2">
        <f t="shared" si="103"/>
        <v>873</v>
      </c>
      <c r="N70" s="2">
        <f t="shared" si="159"/>
        <v>882.67868556434769</v>
      </c>
      <c r="O70" s="2">
        <f t="shared" si="160"/>
        <v>891.89283449539369</v>
      </c>
      <c r="P70" s="2">
        <f t="shared" si="161"/>
        <v>900.51789111270523</v>
      </c>
      <c r="Q70" s="2">
        <f t="shared" si="162"/>
        <v>908.5227968455672</v>
      </c>
      <c r="R70" s="2">
        <f t="shared" si="163"/>
        <v>915.96775299117144</v>
      </c>
      <c r="S70" s="2">
        <f t="shared" si="105"/>
        <v>923</v>
      </c>
      <c r="T70" s="2"/>
      <c r="U70" s="2"/>
      <c r="V70" s="2"/>
      <c r="W70" s="2"/>
      <c r="X70" s="2"/>
      <c r="Y70" s="2"/>
      <c r="Z70" s="2"/>
      <c r="AC70" s="11"/>
      <c r="AD70" s="2"/>
      <c r="AE70" s="2"/>
      <c r="AF70" s="2"/>
      <c r="AG70" s="2"/>
      <c r="AH70" s="2"/>
      <c r="AI70" s="2"/>
      <c r="AJ70" s="2"/>
      <c r="AK70">
        <f t="shared" si="130"/>
        <v>-3143660749.0889692</v>
      </c>
      <c r="AL70">
        <f t="shared" si="131"/>
        <v>-3188419808.9367514</v>
      </c>
      <c r="AM70">
        <f t="shared" si="132"/>
        <v>-3227209736.6012559</v>
      </c>
      <c r="AN70">
        <f t="shared" si="133"/>
        <v>-3259585133.9970708</v>
      </c>
      <c r="AO70">
        <f t="shared" si="134"/>
        <v>-3285537476.0957417</v>
      </c>
      <c r="AP70">
        <f t="shared" si="135"/>
        <v>-3305476918.024003</v>
      </c>
      <c r="AQ70">
        <f t="shared" si="136"/>
        <v>-3320224553.2040334</v>
      </c>
      <c r="AR70" s="2"/>
      <c r="AS70" s="2"/>
      <c r="AT70" s="2"/>
      <c r="AU70" s="2"/>
      <c r="AV70" s="2"/>
      <c r="AW70" s="2"/>
      <c r="AX70" s="2"/>
      <c r="AZ70" s="11"/>
      <c r="BA70" s="2"/>
      <c r="BB70" s="2"/>
      <c r="BC70" s="2"/>
      <c r="BD70" s="2"/>
      <c r="BE70" s="2"/>
      <c r="BF70" s="2"/>
      <c r="BG70" s="2"/>
      <c r="BH70">
        <v>0</v>
      </c>
      <c r="BI70">
        <f t="shared" ref="BI70:BN70" si="172">$C$15/($C$16-$C$17*BH70)</f>
        <v>0.48123195380173245</v>
      </c>
      <c r="BJ70">
        <f t="shared" si="172"/>
        <v>0.62626503729260619</v>
      </c>
      <c r="BK70">
        <f t="shared" si="172"/>
        <v>0.68883096824716772</v>
      </c>
      <c r="BL70">
        <f t="shared" si="172"/>
        <v>0.71985480322593665</v>
      </c>
      <c r="BM70">
        <f t="shared" si="172"/>
        <v>0.73629830034023724</v>
      </c>
      <c r="BN70">
        <f t="shared" si="172"/>
        <v>0.74532215339190988</v>
      </c>
      <c r="BO70" s="2"/>
      <c r="BP70" s="2"/>
      <c r="BQ70" s="2"/>
      <c r="BR70" s="2"/>
      <c r="BS70" s="2"/>
      <c r="BT70" s="2"/>
      <c r="BU70" s="2"/>
    </row>
    <row r="71" spans="1:73" x14ac:dyDescent="0.3">
      <c r="C71" s="11"/>
      <c r="D71">
        <v>18</v>
      </c>
      <c r="E71">
        <f t="shared" si="102"/>
        <v>3.4000000000000016E-2</v>
      </c>
      <c r="F71" s="2"/>
      <c r="G71" s="2"/>
      <c r="H71" s="2"/>
      <c r="I71" s="2"/>
      <c r="J71" s="2"/>
      <c r="K71" s="2"/>
      <c r="L71" s="2"/>
      <c r="M71" s="2">
        <f t="shared" ref="J71:M74" si="173">$E$7</f>
        <v>873</v>
      </c>
      <c r="N71" s="2">
        <f t="shared" si="159"/>
        <v>882.29997256715001</v>
      </c>
      <c r="O71" s="2">
        <f t="shared" si="160"/>
        <v>891.27411993496321</v>
      </c>
      <c r="P71" s="2">
        <f t="shared" si="161"/>
        <v>899.82185246943004</v>
      </c>
      <c r="Q71" s="2">
        <f t="shared" si="162"/>
        <v>907.91651112019611</v>
      </c>
      <c r="R71" s="2">
        <f t="shared" si="163"/>
        <v>915.60421530354256</v>
      </c>
      <c r="S71" s="2">
        <f t="shared" ref="S71:V74" si="174">$E$8</f>
        <v>923</v>
      </c>
      <c r="T71" s="2"/>
      <c r="U71" s="2"/>
      <c r="V71" s="2"/>
      <c r="W71" s="2"/>
      <c r="X71" s="2"/>
      <c r="Y71" s="2"/>
      <c r="Z71" s="2"/>
      <c r="AC71" s="11"/>
      <c r="AD71" s="2"/>
      <c r="AE71" s="2"/>
      <c r="AF71" s="2"/>
      <c r="AG71" s="2"/>
      <c r="AH71" s="2"/>
      <c r="AI71" s="2"/>
      <c r="AJ71" s="2"/>
      <c r="AK71">
        <f t="shared" si="130"/>
        <v>-3139366363.6005402</v>
      </c>
      <c r="AL71">
        <f t="shared" si="131"/>
        <v>-3180680260.7404261</v>
      </c>
      <c r="AM71">
        <f t="shared" si="132"/>
        <v>-3217506624.6605864</v>
      </c>
      <c r="AN71">
        <f t="shared" si="133"/>
        <v>-3249402205.3105478</v>
      </c>
      <c r="AO71">
        <f t="shared" si="134"/>
        <v>-3276324347.4005642</v>
      </c>
      <c r="AP71">
        <f t="shared" si="135"/>
        <v>-3298616220.9060054</v>
      </c>
      <c r="AQ71">
        <f t="shared" si="136"/>
        <v>-3316996770.0423183</v>
      </c>
      <c r="AR71" s="2"/>
      <c r="AS71" s="2"/>
      <c r="AT71" s="2"/>
      <c r="AU71" s="2"/>
      <c r="AV71" s="2"/>
      <c r="AW71" s="2"/>
      <c r="AX71" s="2"/>
      <c r="AZ71" s="11"/>
      <c r="BA71" s="2"/>
      <c r="BB71" s="2"/>
      <c r="BC71" s="2"/>
      <c r="BD71" s="2"/>
      <c r="BE71" s="2"/>
      <c r="BF71" s="2"/>
      <c r="BG71" s="2"/>
      <c r="BH71">
        <v>0</v>
      </c>
      <c r="BI71">
        <f t="shared" ref="BI71:BN71" si="175">$C$15/($C$16-$C$17*BH71)</f>
        <v>0.48123195380173245</v>
      </c>
      <c r="BJ71">
        <f t="shared" si="175"/>
        <v>0.62626503729260619</v>
      </c>
      <c r="BK71">
        <f t="shared" si="175"/>
        <v>0.68883096824716772</v>
      </c>
      <c r="BL71">
        <f t="shared" si="175"/>
        <v>0.71985480322593665</v>
      </c>
      <c r="BM71">
        <f t="shared" si="175"/>
        <v>0.73629830034023724</v>
      </c>
      <c r="BN71">
        <f t="shared" si="175"/>
        <v>0.74532215339190988</v>
      </c>
      <c r="BO71" s="2"/>
      <c r="BP71" s="2"/>
      <c r="BQ71" s="2"/>
      <c r="BR71" s="2"/>
      <c r="BS71" s="2"/>
      <c r="BT71" s="2"/>
      <c r="BU71" s="2"/>
    </row>
    <row r="72" spans="1:73" x14ac:dyDescent="0.3">
      <c r="C72" s="11"/>
      <c r="D72">
        <v>17</v>
      </c>
      <c r="E72">
        <f t="shared" si="102"/>
        <v>3.2000000000000015E-2</v>
      </c>
      <c r="F72" s="2"/>
      <c r="G72" s="2"/>
      <c r="H72" s="2"/>
      <c r="I72" s="2"/>
      <c r="J72" s="2"/>
      <c r="K72" s="2"/>
      <c r="L72" s="2">
        <f t="shared" si="173"/>
        <v>873</v>
      </c>
      <c r="M72" s="2">
        <f t="shared" ref="M72" si="176">BH72*N72+BH34</f>
        <v>879.48136991409206</v>
      </c>
      <c r="N72" s="2">
        <f t="shared" si="159"/>
        <v>886.282825183569</v>
      </c>
      <c r="O72" s="2">
        <f t="shared" si="160"/>
        <v>893.12767529118128</v>
      </c>
      <c r="P72" s="2">
        <f t="shared" si="161"/>
        <v>899.81133963199227</v>
      </c>
      <c r="Q72" s="2">
        <f t="shared" si="162"/>
        <v>906.19614674436411</v>
      </c>
      <c r="R72" s="2">
        <f t="shared" si="163"/>
        <v>912.2035327758864</v>
      </c>
      <c r="S72" s="2">
        <f t="shared" ref="S72:S73" si="177">BN72*T72+BN34</f>
        <v>917.80337870648532</v>
      </c>
      <c r="T72" s="2">
        <f t="shared" si="174"/>
        <v>923</v>
      </c>
      <c r="U72" s="2"/>
      <c r="V72" s="2"/>
      <c r="W72" s="2"/>
      <c r="X72" s="2"/>
      <c r="Y72" s="2"/>
      <c r="Z72" s="2"/>
      <c r="AC72" s="11"/>
      <c r="AD72" s="2"/>
      <c r="AE72" s="2"/>
      <c r="AF72" s="2"/>
      <c r="AG72" s="2"/>
      <c r="AH72" s="2"/>
      <c r="AI72" s="2"/>
      <c r="AJ72">
        <f t="shared" si="130"/>
        <v>-2807450003.7091556</v>
      </c>
      <c r="AK72">
        <f t="shared" si="130"/>
        <v>-3140855228.9040599</v>
      </c>
      <c r="AL72">
        <f t="shared" si="131"/>
        <v>-3177986614.2044201</v>
      </c>
      <c r="AM72">
        <f t="shared" si="132"/>
        <v>-3211956644.2176142</v>
      </c>
      <c r="AN72">
        <f t="shared" si="133"/>
        <v>-3242270519.1077929</v>
      </c>
      <c r="AO72">
        <f t="shared" si="134"/>
        <v>-3268793144.2378616</v>
      </c>
      <c r="AP72">
        <f t="shared" si="135"/>
        <v>-3291733120.2423568</v>
      </c>
      <c r="AQ72">
        <f t="shared" si="136"/>
        <v>-3311626856.1047444</v>
      </c>
      <c r="AR72">
        <f t="shared" si="136"/>
        <v>-2963589584.5305862</v>
      </c>
      <c r="AS72" s="2"/>
      <c r="AT72" s="2"/>
      <c r="AU72" s="2"/>
      <c r="AV72" s="2"/>
      <c r="AW72" s="2"/>
      <c r="AX72" s="2"/>
      <c r="AZ72" s="11"/>
      <c r="BA72" s="2"/>
      <c r="BB72" s="2"/>
      <c r="BC72" s="2"/>
      <c r="BD72" s="2"/>
      <c r="BE72" s="2"/>
      <c r="BF72" s="2"/>
      <c r="BG72">
        <v>0</v>
      </c>
      <c r="BH72">
        <f t="shared" ref="BH72:BO72" si="178">$C$15/($C$16-$C$17*BG72)</f>
        <v>0.48123195380173245</v>
      </c>
      <c r="BI72">
        <f t="shared" si="178"/>
        <v>0.62626503729260619</v>
      </c>
      <c r="BJ72">
        <f t="shared" si="178"/>
        <v>0.68883096824716772</v>
      </c>
      <c r="BK72">
        <f t="shared" si="178"/>
        <v>0.71985480322593665</v>
      </c>
      <c r="BL72">
        <f t="shared" si="178"/>
        <v>0.73629830034023724</v>
      </c>
      <c r="BM72">
        <f t="shared" si="178"/>
        <v>0.74532215339190988</v>
      </c>
      <c r="BN72">
        <f t="shared" si="178"/>
        <v>0.75036889263611883</v>
      </c>
      <c r="BO72">
        <f t="shared" si="178"/>
        <v>0.75322127845104569</v>
      </c>
      <c r="BP72" s="2"/>
      <c r="BQ72" s="2"/>
      <c r="BR72" s="2"/>
      <c r="BS72" s="2"/>
      <c r="BT72" s="2"/>
      <c r="BU72" s="2"/>
    </row>
    <row r="73" spans="1:73" x14ac:dyDescent="0.3">
      <c r="C73" s="11"/>
      <c r="D73">
        <v>16</v>
      </c>
      <c r="E73">
        <f t="shared" si="102"/>
        <v>3.0000000000000013E-2</v>
      </c>
      <c r="F73" s="2"/>
      <c r="G73" s="2"/>
      <c r="H73" s="2"/>
      <c r="I73" s="2"/>
      <c r="J73" s="2"/>
      <c r="K73" s="2">
        <f t="shared" si="173"/>
        <v>873</v>
      </c>
      <c r="L73" s="2">
        <f t="shared" ref="L73" si="179">BG73*M73+BG35</f>
        <v>871.039584850447</v>
      </c>
      <c r="M73" s="2">
        <f t="shared" ref="M73" si="180">BH73*N73+BH35</f>
        <v>877.14129728065291</v>
      </c>
      <c r="N73" s="2">
        <f t="shared" si="159"/>
        <v>883.34510537508629</v>
      </c>
      <c r="O73" s="2">
        <f t="shared" si="160"/>
        <v>889.41598208651453</v>
      </c>
      <c r="P73" s="2">
        <f t="shared" si="161"/>
        <v>895.15720155306633</v>
      </c>
      <c r="Q73" s="2">
        <f t="shared" si="162"/>
        <v>900.40694748979672</v>
      </c>
      <c r="R73" s="2">
        <f t="shared" si="163"/>
        <v>905.03103585387498</v>
      </c>
      <c r="S73" s="2">
        <f t="shared" si="177"/>
        <v>908.9115806083089</v>
      </c>
      <c r="T73" s="2">
        <f t="shared" ref="T73:T74" si="181">BO73*U73+BO35</f>
        <v>911.93120280184598</v>
      </c>
      <c r="U73" s="2">
        <f t="shared" si="174"/>
        <v>923</v>
      </c>
      <c r="V73" s="2"/>
      <c r="W73" s="2"/>
      <c r="X73" s="2"/>
      <c r="Y73" s="2"/>
      <c r="Z73" s="2"/>
      <c r="AC73" s="11"/>
      <c r="AD73" s="2"/>
      <c r="AE73" s="2"/>
      <c r="AF73" s="2"/>
      <c r="AG73" s="2"/>
      <c r="AH73" s="2"/>
      <c r="AI73">
        <f t="shared" ref="AE73:AI88" si="182">(-($C$8*$C$7)/$C$4)*K34</f>
        <v>-2531809747.9960608</v>
      </c>
      <c r="AJ73">
        <f t="shared" ref="AJ73:AJ88" si="183">(-($C$8*$C$7)/$C$4)*L34</f>
        <v>-2754432161.774487</v>
      </c>
      <c r="AK73">
        <f t="shared" si="130"/>
        <v>-3142486574.0885334</v>
      </c>
      <c r="AL73">
        <f t="shared" si="131"/>
        <v>-3175557081.7040458</v>
      </c>
      <c r="AM73">
        <f t="shared" si="132"/>
        <v>-3206388776.9907203</v>
      </c>
      <c r="AN73">
        <f t="shared" si="133"/>
        <v>-3234431821.5441952</v>
      </c>
      <c r="AO73">
        <f t="shared" si="134"/>
        <v>-3259440375.93539</v>
      </c>
      <c r="AP73">
        <f t="shared" si="135"/>
        <v>-3281454362.6873469</v>
      </c>
      <c r="AQ73">
        <f t="shared" si="136"/>
        <v>-3300777189.0238652</v>
      </c>
      <c r="AR73">
        <f t="shared" si="136"/>
        <v>-2901747105.440639</v>
      </c>
      <c r="AS73">
        <f t="shared" si="136"/>
        <v>-2670778433.8097839</v>
      </c>
      <c r="AT73" s="2"/>
      <c r="AU73" s="2"/>
      <c r="AV73" s="2"/>
      <c r="AW73" s="2"/>
      <c r="AX73" s="2"/>
      <c r="AZ73" s="11"/>
      <c r="BA73" s="2"/>
      <c r="BB73" s="2"/>
      <c r="BC73" s="2"/>
      <c r="BD73" s="2"/>
      <c r="BE73" s="2"/>
      <c r="BF73">
        <v>0</v>
      </c>
      <c r="BG73">
        <f t="shared" ref="BG73:BH73" si="184">$C$15/($C$16-$C$17*BF73)</f>
        <v>0.48123195380173245</v>
      </c>
      <c r="BH73">
        <f t="shared" si="184"/>
        <v>0.62626503729260619</v>
      </c>
      <c r="BI73">
        <f t="shared" ref="BI73:BP73" si="185">$C$15/($C$16-$C$17*BH73)</f>
        <v>0.68883096824716772</v>
      </c>
      <c r="BJ73">
        <f t="shared" si="185"/>
        <v>0.71985480322593665</v>
      </c>
      <c r="BK73">
        <f t="shared" si="185"/>
        <v>0.73629830034023724</v>
      </c>
      <c r="BL73">
        <f t="shared" si="185"/>
        <v>0.74532215339190988</v>
      </c>
      <c r="BM73">
        <f t="shared" si="185"/>
        <v>0.75036889263611883</v>
      </c>
      <c r="BN73">
        <f t="shared" si="185"/>
        <v>0.75322127845104569</v>
      </c>
      <c r="BO73">
        <f t="shared" si="185"/>
        <v>0.75484304188610662</v>
      </c>
      <c r="BP73">
        <f t="shared" si="185"/>
        <v>0.7557682358602863</v>
      </c>
      <c r="BQ73" s="2"/>
      <c r="BR73" s="2"/>
      <c r="BS73" s="2"/>
      <c r="BT73" s="2"/>
      <c r="BU73" s="2"/>
    </row>
    <row r="74" spans="1:73" x14ac:dyDescent="0.3">
      <c r="C74" s="11"/>
      <c r="D74">
        <v>15</v>
      </c>
      <c r="E74">
        <f t="shared" si="102"/>
        <v>2.8000000000000011E-2</v>
      </c>
      <c r="F74" s="2"/>
      <c r="G74" s="2"/>
      <c r="H74" s="2"/>
      <c r="I74" s="2"/>
      <c r="J74" s="2">
        <f t="shared" si="173"/>
        <v>873</v>
      </c>
      <c r="K74" s="2">
        <f t="shared" ref="K74" si="186">BF74*L74+BF36</f>
        <v>861.58167717519518</v>
      </c>
      <c r="L74" s="2">
        <f t="shared" ref="L74" si="187">BG74*M74+BG36</f>
        <v>862.12959376595779</v>
      </c>
      <c r="M74" s="2">
        <f t="shared" ref="M74" si="188">BH74*N74+BH36</f>
        <v>869.1030324581975</v>
      </c>
      <c r="N74" s="2">
        <f t="shared" si="159"/>
        <v>875.63415167791482</v>
      </c>
      <c r="O74" s="2">
        <f t="shared" si="160"/>
        <v>881.58040211732794</v>
      </c>
      <c r="P74" s="2">
        <f t="shared" si="161"/>
        <v>886.79508121468871</v>
      </c>
      <c r="Q74" s="2">
        <f t="shared" si="162"/>
        <v>891.12814870672503</v>
      </c>
      <c r="R74" s="2">
        <f t="shared" si="163"/>
        <v>894.42180958882034</v>
      </c>
      <c r="S74" s="2">
        <f t="shared" ref="S74" si="189">BN74*T74+BN36</f>
        <v>896.50092314394442</v>
      </c>
      <c r="T74" s="2">
        <f t="shared" si="181"/>
        <v>897.15806774582188</v>
      </c>
      <c r="U74" s="2">
        <f t="shared" ref="U74:U77" si="190">BP74*V74+BP36</f>
        <v>903.9186393862667</v>
      </c>
      <c r="V74" s="2">
        <f t="shared" si="174"/>
        <v>923</v>
      </c>
      <c r="W74" s="2"/>
      <c r="X74" s="2"/>
      <c r="Y74" s="2"/>
      <c r="Z74" s="2"/>
      <c r="AC74" s="11"/>
      <c r="AD74" s="2"/>
      <c r="AE74" s="2"/>
      <c r="AF74" s="2"/>
      <c r="AG74" s="2"/>
      <c r="AH74">
        <f t="shared" si="182"/>
        <v>-2349349229.1065722</v>
      </c>
      <c r="AI74">
        <f t="shared" si="182"/>
        <v>-2540908044.5885015</v>
      </c>
      <c r="AJ74">
        <f t="shared" si="183"/>
        <v>-2797746965.764317</v>
      </c>
      <c r="AK74">
        <f t="shared" si="130"/>
        <v>-3138688376.1960425</v>
      </c>
      <c r="AL74">
        <f t="shared" si="131"/>
        <v>-3168679300.1143532</v>
      </c>
      <c r="AM74">
        <f t="shared" si="132"/>
        <v>-3196762764.5313816</v>
      </c>
      <c r="AN74">
        <f t="shared" si="133"/>
        <v>-3222374885.2432389</v>
      </c>
      <c r="AO74">
        <f t="shared" si="134"/>
        <v>-3245180501.6170096</v>
      </c>
      <c r="AP74">
        <f t="shared" si="135"/>
        <v>-3265054629.8453598</v>
      </c>
      <c r="AQ74">
        <f t="shared" si="136"/>
        <v>-3282055884.089808</v>
      </c>
      <c r="AR74">
        <f t="shared" si="136"/>
        <v>-2938245503.2979169</v>
      </c>
      <c r="AS74">
        <f t="shared" si="136"/>
        <v>-2676503785.3466487</v>
      </c>
      <c r="AT74">
        <f t="shared" si="136"/>
        <v>-2477635952.3594337</v>
      </c>
      <c r="AU74" s="2"/>
      <c r="AV74" s="2"/>
      <c r="AW74" s="2"/>
      <c r="AX74" s="2"/>
      <c r="AZ74" s="11"/>
      <c r="BA74" s="2"/>
      <c r="BB74" s="2"/>
      <c r="BC74" s="2"/>
      <c r="BD74" s="2"/>
      <c r="BE74">
        <v>0</v>
      </c>
      <c r="BF74">
        <f t="shared" ref="BF74:BH74" si="191">$C$15/($C$16-$C$17*BE74)</f>
        <v>0.48123195380173245</v>
      </c>
      <c r="BG74">
        <f t="shared" si="191"/>
        <v>0.62626503729260619</v>
      </c>
      <c r="BH74">
        <f t="shared" si="191"/>
        <v>0.68883096824716772</v>
      </c>
      <c r="BI74">
        <f t="shared" ref="BI74:BP74" si="192">$C$15/($C$16-$C$17*BH74)</f>
        <v>0.71985480322593665</v>
      </c>
      <c r="BJ74">
        <f t="shared" si="192"/>
        <v>0.73629830034023724</v>
      </c>
      <c r="BK74">
        <f t="shared" si="192"/>
        <v>0.74532215339190988</v>
      </c>
      <c r="BL74">
        <f t="shared" si="192"/>
        <v>0.75036889263611883</v>
      </c>
      <c r="BM74">
        <f t="shared" si="192"/>
        <v>0.75322127845104569</v>
      </c>
      <c r="BN74">
        <f t="shared" si="192"/>
        <v>0.75484304188610662</v>
      </c>
      <c r="BO74">
        <f t="shared" si="192"/>
        <v>0.7557682358602863</v>
      </c>
      <c r="BP74">
        <f t="shared" si="192"/>
        <v>0.75629706313297662</v>
      </c>
      <c r="BQ74">
        <f t="shared" ref="BQ74" si="193">$C$15/($C$16-$C$17*BP74)</f>
        <v>0.75659966555753366</v>
      </c>
      <c r="BR74" s="2"/>
      <c r="BS74" s="2"/>
      <c r="BT74" s="2"/>
      <c r="BU74" s="2"/>
    </row>
    <row r="75" spans="1:73" x14ac:dyDescent="0.3">
      <c r="C75" s="11"/>
      <c r="D75">
        <v>14</v>
      </c>
      <c r="E75">
        <f t="shared" si="102"/>
        <v>2.6000000000000009E-2</v>
      </c>
      <c r="F75" s="2"/>
      <c r="G75" s="2"/>
      <c r="H75" s="2"/>
      <c r="I75" s="2">
        <f>$E$7</f>
        <v>873</v>
      </c>
      <c r="J75" s="2">
        <f t="shared" ref="J75:J77" si="194">BE75*K75+BE37</f>
        <v>1536.2466808267541</v>
      </c>
      <c r="K75" s="2">
        <f t="shared" ref="K75:K77" si="195">BF75*L75+BF37</f>
        <v>1378.2266027579949</v>
      </c>
      <c r="L75" s="2">
        <f t="shared" ref="L75:L77" si="196">BG75*M75+BG37</f>
        <v>1263.0119686907019</v>
      </c>
      <c r="M75" s="2">
        <f t="shared" ref="M75:M77" si="197">BH75*N75+BH37</f>
        <v>1178.404437705859</v>
      </c>
      <c r="N75" s="2">
        <f t="shared" si="159"/>
        <v>1113.2509355286365</v>
      </c>
      <c r="O75" s="2">
        <f t="shared" si="160"/>
        <v>1062.8702864920833</v>
      </c>
      <c r="P75" s="2">
        <f t="shared" si="161"/>
        <v>1023.5581220575261</v>
      </c>
      <c r="Q75" s="2">
        <f t="shared" si="162"/>
        <v>992.3600276551806</v>
      </c>
      <c r="R75" s="2">
        <f t="shared" si="163"/>
        <v>966.8891368574134</v>
      </c>
      <c r="S75" s="2">
        <f t="shared" ref="S75:S77" si="198">BN75*T75+BN37</f>
        <v>945.17683531472164</v>
      </c>
      <c r="T75" s="2">
        <f t="shared" ref="T75:T77" si="199">BO75*U75+BO37</f>
        <v>925.54752730968846</v>
      </c>
      <c r="U75" s="2">
        <f t="shared" si="190"/>
        <v>912.47777572718383</v>
      </c>
      <c r="V75" s="2">
        <f t="shared" ref="V75:V79" si="200">BQ75*W75+BQ37</f>
        <v>910.02072839860966</v>
      </c>
      <c r="W75" s="2">
        <f t="shared" ref="W75:W77" si="201">$E$8</f>
        <v>923</v>
      </c>
      <c r="X75" s="2"/>
      <c r="Y75" s="2"/>
      <c r="Z75" s="2"/>
      <c r="AC75" s="11"/>
      <c r="AD75" s="2"/>
      <c r="AE75" s="2"/>
      <c r="AF75" s="2"/>
      <c r="AG75">
        <f t="shared" si="182"/>
        <v>-2426521821.9091911</v>
      </c>
      <c r="AH75">
        <f t="shared" si="182"/>
        <v>-2857231891.0581651</v>
      </c>
      <c r="AI75">
        <f t="shared" si="182"/>
        <v>-2976026626.6282411</v>
      </c>
      <c r="AJ75">
        <f t="shared" si="183"/>
        <v>-3123760201.869524</v>
      </c>
      <c r="AK75">
        <f t="shared" si="130"/>
        <v>-3333229797.3380866</v>
      </c>
      <c r="AL75">
        <f t="shared" si="131"/>
        <v>-3314793112.2059736</v>
      </c>
      <c r="AM75">
        <f t="shared" si="132"/>
        <v>-3304428296.2417717</v>
      </c>
      <c r="AN75">
        <f t="shared" si="133"/>
        <v>-3299279320.4606786</v>
      </c>
      <c r="AO75">
        <f t="shared" si="134"/>
        <v>-3297136413.4161849</v>
      </c>
      <c r="AP75">
        <f t="shared" si="135"/>
        <v>-3296303117.310925</v>
      </c>
      <c r="AQ75">
        <f t="shared" si="136"/>
        <v>-3295476782.3769255</v>
      </c>
      <c r="AR75">
        <f t="shared" ref="AR75:AR77" si="202">(-($C$8*$C$7)/$C$4)*T36</f>
        <v>-3019124932.5508461</v>
      </c>
      <c r="AS75">
        <f t="shared" ref="AS75:AS77" si="203">(-($C$8*$C$7)/$C$4)*U36</f>
        <v>-2785785863.6283364</v>
      </c>
      <c r="AT75">
        <f t="shared" ref="AT75:AT77" si="204">(-($C$8*$C$7)/$C$4)*V36</f>
        <v>-2555083702.7158446</v>
      </c>
      <c r="AU75">
        <f t="shared" ref="AU75:AU77" si="205">(-($C$8*$C$7)/$C$4)*W36</f>
        <v>-2361981040.9805622</v>
      </c>
      <c r="AV75" s="2"/>
      <c r="AW75" s="2"/>
      <c r="AX75" s="2"/>
      <c r="AZ75" s="11"/>
      <c r="BA75" s="2"/>
      <c r="BB75" s="2"/>
      <c r="BC75" s="2"/>
      <c r="BD75">
        <v>0</v>
      </c>
      <c r="BE75">
        <f t="shared" ref="BE75:BG76" si="206">$C$15/($C$16-$C$17*BD75)</f>
        <v>0.48123195380173245</v>
      </c>
      <c r="BF75">
        <f t="shared" si="206"/>
        <v>0.62626503729260619</v>
      </c>
      <c r="BG75">
        <f t="shared" si="206"/>
        <v>0.68883096824716772</v>
      </c>
      <c r="BH75">
        <f t="shared" ref="BH75:BP75" si="207">$C$15/($C$16-$C$17*BG75)</f>
        <v>0.71985480322593665</v>
      </c>
      <c r="BI75">
        <f t="shared" si="207"/>
        <v>0.73629830034023724</v>
      </c>
      <c r="BJ75">
        <f t="shared" si="207"/>
        <v>0.74532215339190988</v>
      </c>
      <c r="BK75">
        <f t="shared" si="207"/>
        <v>0.75036889263611883</v>
      </c>
      <c r="BL75">
        <f t="shared" si="207"/>
        <v>0.75322127845104569</v>
      </c>
      <c r="BM75">
        <f t="shared" si="207"/>
        <v>0.75484304188610662</v>
      </c>
      <c r="BN75">
        <f t="shared" si="207"/>
        <v>0.7557682358602863</v>
      </c>
      <c r="BO75">
        <f t="shared" si="207"/>
        <v>0.75629706313297662</v>
      </c>
      <c r="BP75">
        <f t="shared" si="207"/>
        <v>0.75659966555753366</v>
      </c>
      <c r="BQ75">
        <f t="shared" ref="BQ75:BR75" si="208">$C$15/($C$16-$C$17*BP75)</f>
        <v>0.75677292788178863</v>
      </c>
      <c r="BR75">
        <f t="shared" si="208"/>
        <v>0.75687216913954447</v>
      </c>
      <c r="BS75" s="2"/>
      <c r="BT75" s="2"/>
      <c r="BU75" s="2"/>
    </row>
    <row r="76" spans="1:73" x14ac:dyDescent="0.3">
      <c r="C76" s="11"/>
      <c r="D76">
        <v>13</v>
      </c>
      <c r="E76">
        <f t="shared" si="102"/>
        <v>2.4000000000000007E-2</v>
      </c>
      <c r="F76" s="2"/>
      <c r="G76" s="2"/>
      <c r="H76" s="2"/>
      <c r="I76" s="2">
        <f t="shared" ref="I76:I77" si="209">$E$7</f>
        <v>873</v>
      </c>
      <c r="J76" s="2">
        <f t="shared" si="194"/>
        <v>879.00454689322009</v>
      </c>
      <c r="K76" s="2">
        <f t="shared" si="195"/>
        <v>886.6348900989276</v>
      </c>
      <c r="L76" s="2">
        <f t="shared" si="196"/>
        <v>894.78579599966906</v>
      </c>
      <c r="M76" s="2">
        <f t="shared" si="197"/>
        <v>902.13146292709314</v>
      </c>
      <c r="N76" s="2">
        <f t="shared" si="159"/>
        <v>906.35504358888193</v>
      </c>
      <c r="O76" s="2">
        <f t="shared" si="160"/>
        <v>908.40488199625634</v>
      </c>
      <c r="P76" s="2">
        <f t="shared" si="161"/>
        <v>908.87431642099114</v>
      </c>
      <c r="Q76" s="2">
        <f t="shared" si="162"/>
        <v>908.10710578821477</v>
      </c>
      <c r="R76" s="2">
        <f t="shared" si="163"/>
        <v>906.27235160562736</v>
      </c>
      <c r="S76" s="2">
        <f t="shared" si="198"/>
        <v>903.41690492006046</v>
      </c>
      <c r="T76" s="2">
        <f t="shared" si="199"/>
        <v>899.50141274298664</v>
      </c>
      <c r="U76" s="2">
        <f t="shared" si="190"/>
        <v>898.71661704577696</v>
      </c>
      <c r="V76" s="2">
        <f t="shared" si="200"/>
        <v>904.96830786401893</v>
      </c>
      <c r="W76" s="2">
        <f t="shared" si="201"/>
        <v>923</v>
      </c>
      <c r="X76" s="2"/>
      <c r="Y76" s="2"/>
      <c r="Z76" s="2"/>
      <c r="AC76" s="11"/>
      <c r="AD76" s="2"/>
      <c r="AE76" s="2"/>
      <c r="AF76" s="2"/>
      <c r="AG76">
        <f t="shared" si="182"/>
        <v>-2578984012.65026</v>
      </c>
      <c r="AH76">
        <f t="shared" si="182"/>
        <v>-3079081683.8784561</v>
      </c>
      <c r="AI76">
        <f t="shared" si="182"/>
        <v>-3157300101.7033992</v>
      </c>
      <c r="AJ76">
        <f t="shared" si="183"/>
        <v>-3247532428.8194151</v>
      </c>
      <c r="AK76">
        <f t="shared" si="130"/>
        <v>-3380463657.2016301</v>
      </c>
      <c r="AL76">
        <f t="shared" si="131"/>
        <v>-3351994040.0999742</v>
      </c>
      <c r="AM76">
        <f t="shared" si="132"/>
        <v>-3332055299.8039961</v>
      </c>
      <c r="AN76">
        <f t="shared" si="133"/>
        <v>-3317926719.9640312</v>
      </c>
      <c r="AO76">
        <f t="shared" si="134"/>
        <v>-3307395298.8594208</v>
      </c>
      <c r="AP76">
        <f t="shared" si="135"/>
        <v>-3298657052.6980367</v>
      </c>
      <c r="AQ76">
        <f t="shared" si="136"/>
        <v>-3290221947.4624991</v>
      </c>
      <c r="AR76">
        <f t="shared" si="202"/>
        <v>-3083399030.8480811</v>
      </c>
      <c r="AS76">
        <f t="shared" si="203"/>
        <v>-2900916842.2494755</v>
      </c>
      <c r="AT76">
        <f t="shared" si="204"/>
        <v>-2705146228.0001059</v>
      </c>
      <c r="AU76">
        <f t="shared" si="205"/>
        <v>-2494298721.642282</v>
      </c>
      <c r="AV76" s="2"/>
      <c r="AW76" s="2"/>
      <c r="AX76" s="2"/>
      <c r="AZ76" s="11"/>
      <c r="BA76" s="2"/>
      <c r="BB76" s="2"/>
      <c r="BC76" s="2"/>
      <c r="BD76">
        <v>0</v>
      </c>
      <c r="BE76">
        <f t="shared" si="206"/>
        <v>0.48123195380173245</v>
      </c>
      <c r="BF76">
        <f t="shared" si="206"/>
        <v>0.62626503729260619</v>
      </c>
      <c r="BG76">
        <f t="shared" si="206"/>
        <v>0.68883096824716772</v>
      </c>
      <c r="BH76">
        <f t="shared" ref="BH76:BP76" si="210">$C$15/($C$16-$C$17*BG76)</f>
        <v>0.71985480322593665</v>
      </c>
      <c r="BI76">
        <f t="shared" si="210"/>
        <v>0.73629830034023724</v>
      </c>
      <c r="BJ76">
        <f t="shared" si="210"/>
        <v>0.74532215339190988</v>
      </c>
      <c r="BK76">
        <f t="shared" si="210"/>
        <v>0.75036889263611883</v>
      </c>
      <c r="BL76">
        <f t="shared" si="210"/>
        <v>0.75322127845104569</v>
      </c>
      <c r="BM76">
        <f t="shared" si="210"/>
        <v>0.75484304188610662</v>
      </c>
      <c r="BN76">
        <f t="shared" si="210"/>
        <v>0.7557682358602863</v>
      </c>
      <c r="BO76">
        <f t="shared" si="210"/>
        <v>0.75629706313297662</v>
      </c>
      <c r="BP76">
        <f t="shared" si="210"/>
        <v>0.75659966555753366</v>
      </c>
      <c r="BQ76">
        <f t="shared" ref="BQ76:BR76" si="211">$C$15/($C$16-$C$17*BP76)</f>
        <v>0.75677292788178863</v>
      </c>
      <c r="BR76">
        <f t="shared" si="211"/>
        <v>0.75687216913954447</v>
      </c>
      <c r="BS76" s="2"/>
      <c r="BT76" s="2"/>
      <c r="BU76" s="2"/>
    </row>
    <row r="77" spans="1:73" x14ac:dyDescent="0.3">
      <c r="C77" s="11"/>
      <c r="D77">
        <v>12</v>
      </c>
      <c r="E77">
        <f t="shared" si="102"/>
        <v>2.2000000000000006E-2</v>
      </c>
      <c r="F77" s="2"/>
      <c r="G77" s="2"/>
      <c r="H77" s="2"/>
      <c r="I77" s="2">
        <f t="shared" si="209"/>
        <v>873</v>
      </c>
      <c r="J77" s="2">
        <f t="shared" si="194"/>
        <v>881.63754973603204</v>
      </c>
      <c r="K77" s="2">
        <f t="shared" si="195"/>
        <v>890.17675214966675</v>
      </c>
      <c r="L77" s="2">
        <f t="shared" si="196"/>
        <v>898.06187986852353</v>
      </c>
      <c r="M77" s="2">
        <f t="shared" si="197"/>
        <v>904.60322019047089</v>
      </c>
      <c r="N77" s="2">
        <f t="shared" si="159"/>
        <v>908.40100964968042</v>
      </c>
      <c r="O77" s="2">
        <f t="shared" si="160"/>
        <v>910.27828113834471</v>
      </c>
      <c r="P77" s="2">
        <f t="shared" si="161"/>
        <v>910.7797570487138</v>
      </c>
      <c r="Q77" s="2">
        <f t="shared" si="162"/>
        <v>910.25424083233236</v>
      </c>
      <c r="R77" s="2">
        <f t="shared" si="163"/>
        <v>908.91641932710456</v>
      </c>
      <c r="S77" s="2">
        <f t="shared" si="198"/>
        <v>906.8935429354093</v>
      </c>
      <c r="T77" s="2">
        <f t="shared" si="199"/>
        <v>904.26148926668714</v>
      </c>
      <c r="U77" s="2">
        <f t="shared" si="190"/>
        <v>904.03834234378257</v>
      </c>
      <c r="V77" s="2">
        <f t="shared" si="200"/>
        <v>909.09696591403122</v>
      </c>
      <c r="W77" s="2">
        <f t="shared" si="201"/>
        <v>923</v>
      </c>
      <c r="X77" s="2"/>
      <c r="Y77" s="2"/>
      <c r="Z77" s="2"/>
      <c r="AC77" s="11"/>
      <c r="AD77" s="2"/>
      <c r="AE77" s="2"/>
      <c r="AF77" s="2"/>
      <c r="AG77">
        <f t="shared" si="182"/>
        <v>-2729028360.9969053</v>
      </c>
      <c r="AH77">
        <f t="shared" si="182"/>
        <v>-3167839505.2831535</v>
      </c>
      <c r="AI77">
        <f t="shared" si="182"/>
        <v>-3224041622.6727886</v>
      </c>
      <c r="AJ77">
        <f t="shared" si="183"/>
        <v>-3284060245.2260957</v>
      </c>
      <c r="AK77">
        <f t="shared" si="130"/>
        <v>-3371919693.7293472</v>
      </c>
      <c r="AL77">
        <f t="shared" si="131"/>
        <v>-3347686649.2681441</v>
      </c>
      <c r="AM77">
        <f t="shared" si="132"/>
        <v>-3329365069.3259611</v>
      </c>
      <c r="AN77">
        <f t="shared" si="133"/>
        <v>-3315119406.1213083</v>
      </c>
      <c r="AO77">
        <f t="shared" si="134"/>
        <v>-3303358259.3933401</v>
      </c>
      <c r="AP77">
        <f t="shared" si="135"/>
        <v>-3292704637.3231521</v>
      </c>
      <c r="AQ77">
        <f t="shared" si="136"/>
        <v>-3281956186.795486</v>
      </c>
      <c r="AR77">
        <f t="shared" si="202"/>
        <v>-3133680513.1812592</v>
      </c>
      <c r="AS77">
        <f t="shared" si="203"/>
        <v>-3000728129.644453</v>
      </c>
      <c r="AT77">
        <f t="shared" si="204"/>
        <v>-2854997029.9764156</v>
      </c>
      <c r="AU77">
        <f t="shared" si="205"/>
        <v>-2685122166.4767075</v>
      </c>
      <c r="AV77" s="2"/>
      <c r="AW77" s="2"/>
      <c r="AX77" s="2"/>
      <c r="AZ77" s="11"/>
      <c r="BA77" s="2"/>
      <c r="BB77" s="2"/>
      <c r="BC77" s="2"/>
      <c r="BD77">
        <v>0</v>
      </c>
      <c r="BE77">
        <f t="shared" ref="BE77:BG79" si="212">$C$15/($C$16-$C$17*BD77)</f>
        <v>0.48123195380173245</v>
      </c>
      <c r="BF77">
        <f t="shared" si="212"/>
        <v>0.62626503729260619</v>
      </c>
      <c r="BG77">
        <f t="shared" si="212"/>
        <v>0.68883096824716772</v>
      </c>
      <c r="BH77">
        <f t="shared" ref="BH77:BP77" si="213">$C$15/($C$16-$C$17*BG77)</f>
        <v>0.71985480322593665</v>
      </c>
      <c r="BI77">
        <f t="shared" si="213"/>
        <v>0.73629830034023724</v>
      </c>
      <c r="BJ77">
        <f t="shared" si="213"/>
        <v>0.74532215339190988</v>
      </c>
      <c r="BK77">
        <f t="shared" si="213"/>
        <v>0.75036889263611883</v>
      </c>
      <c r="BL77">
        <f t="shared" si="213"/>
        <v>0.75322127845104569</v>
      </c>
      <c r="BM77">
        <f t="shared" si="213"/>
        <v>0.75484304188610662</v>
      </c>
      <c r="BN77">
        <f t="shared" si="213"/>
        <v>0.7557682358602863</v>
      </c>
      <c r="BO77">
        <f t="shared" si="213"/>
        <v>0.75629706313297662</v>
      </c>
      <c r="BP77">
        <f t="shared" si="213"/>
        <v>0.75659966555753366</v>
      </c>
      <c r="BQ77">
        <f t="shared" ref="BQ77:BR77" si="214">$C$15/($C$16-$C$17*BP77)</f>
        <v>0.75677292788178863</v>
      </c>
      <c r="BR77">
        <f t="shared" si="214"/>
        <v>0.75687216913954447</v>
      </c>
      <c r="BS77" s="2"/>
      <c r="BT77" s="2"/>
      <c r="BU77" s="2"/>
    </row>
    <row r="78" spans="1:73" x14ac:dyDescent="0.3">
      <c r="C78" s="11"/>
      <c r="D78">
        <v>11</v>
      </c>
      <c r="E78">
        <f t="shared" si="102"/>
        <v>2.0000000000000004E-2</v>
      </c>
      <c r="F78" s="2"/>
      <c r="G78" s="2"/>
      <c r="H78" s="2">
        <f>$E$7</f>
        <v>873</v>
      </c>
      <c r="I78" s="2">
        <f t="shared" ref="I78:I79" si="215">BD78*J78+BD40</f>
        <v>875.08640336600138</v>
      </c>
      <c r="J78" s="2">
        <f t="shared" ref="J78" si="216">BE78*K78+BE40</f>
        <v>883.41544888287763</v>
      </c>
      <c r="K78" s="2">
        <f t="shared" ref="K78" si="217">BF78*L78+BF40</f>
        <v>891.13728457967329</v>
      </c>
      <c r="L78" s="2">
        <f t="shared" ref="L78" si="218">BG78*M78+BG40</f>
        <v>897.90259095769238</v>
      </c>
      <c r="M78" s="2">
        <f t="shared" ref="M78" si="219">BH78*N78+BH40</f>
        <v>903.29192816358284</v>
      </c>
      <c r="N78" s="2">
        <f t="shared" ref="N78" si="220">BI78*O78+BI40</f>
        <v>906.4085481430435</v>
      </c>
      <c r="O78" s="2">
        <f t="shared" ref="O78" si="221">BJ78*P78+BJ40</f>
        <v>907.85341651933231</v>
      </c>
      <c r="P78" s="2">
        <f t="shared" ref="P78" si="222">BK78*Q78+BK40</f>
        <v>908.03402148212695</v>
      </c>
      <c r="Q78" s="2">
        <f t="shared" ref="Q78" si="223">BL78*R78+BL40</f>
        <v>907.21679125767014</v>
      </c>
      <c r="R78" s="2">
        <f t="shared" ref="R78" si="224">BM78*S78+BM40</f>
        <v>905.56803411985504</v>
      </c>
      <c r="S78" s="2">
        <f t="shared" ref="S78" si="225">BN78*T78+BN40</f>
        <v>903.18605318289519</v>
      </c>
      <c r="T78" s="2">
        <f t="shared" ref="T78" si="226">BO78*U78+BO40</f>
        <v>900.12680097150883</v>
      </c>
      <c r="U78" s="2">
        <f t="shared" ref="U78" si="227">BP78*V78+BP40</f>
        <v>898.41623682983766</v>
      </c>
      <c r="V78" s="2">
        <f t="shared" si="200"/>
        <v>899.95841710072068</v>
      </c>
      <c r="W78" s="2">
        <f t="shared" ref="W78:W80" si="228">BR78*X78+BR40</f>
        <v>907.0897050949925</v>
      </c>
      <c r="X78" s="2">
        <f t="shared" ref="X78:Z88" si="229">$E$8</f>
        <v>923</v>
      </c>
      <c r="Y78" s="2"/>
      <c r="Z78" s="2"/>
      <c r="AC78" s="11"/>
      <c r="AD78" s="2"/>
      <c r="AE78" s="2"/>
      <c r="AF78">
        <f t="shared" si="182"/>
        <v>-2548655103.15346</v>
      </c>
      <c r="AG78">
        <f t="shared" si="182"/>
        <v>-2852648476.3369646</v>
      </c>
      <c r="AH78">
        <f t="shared" si="182"/>
        <v>-3197626282.3154812</v>
      </c>
      <c r="AI78">
        <f t="shared" si="182"/>
        <v>-3241400925.7355895</v>
      </c>
      <c r="AJ78">
        <f t="shared" si="183"/>
        <v>-3284969078.2741132</v>
      </c>
      <c r="AK78">
        <f t="shared" si="130"/>
        <v>-3345556430.6667156</v>
      </c>
      <c r="AL78">
        <f t="shared" si="131"/>
        <v>-3329094444.4831471</v>
      </c>
      <c r="AM78">
        <f t="shared" si="132"/>
        <v>-3315534175.4920983</v>
      </c>
      <c r="AN78">
        <f t="shared" si="133"/>
        <v>-3303926487.6914358</v>
      </c>
      <c r="AO78">
        <f t="shared" si="134"/>
        <v>-3293344085.0470009</v>
      </c>
      <c r="AP78">
        <f t="shared" si="135"/>
        <v>-3282906401.1827021</v>
      </c>
      <c r="AQ78">
        <f t="shared" si="136"/>
        <v>-3271786037.4438434</v>
      </c>
      <c r="AR78">
        <f t="shared" ref="AR78:AR79" si="230">(-($C$8*$C$7)/$C$4)*T39</f>
        <v>-3167615310.6788759</v>
      </c>
      <c r="AS78">
        <f t="shared" ref="AS78:AS79" si="231">(-($C$8*$C$7)/$C$4)*U39</f>
        <v>-3073891214.7679653</v>
      </c>
      <c r="AT78">
        <f t="shared" ref="AT78:AT79" si="232">(-($C$8*$C$7)/$C$4)*V39</f>
        <v>-2971951845.2815003</v>
      </c>
      <c r="AU78">
        <f t="shared" ref="AU78:AU79" si="233">(-($C$8*$C$7)/$C$4)*W39</f>
        <v>-2850803543.98699</v>
      </c>
      <c r="AV78">
        <f t="shared" ref="AV78:AV79" si="234">(-($C$8*$C$7)/$C$4)*X39</f>
        <v>-2557714035.343226</v>
      </c>
      <c r="AW78" s="2"/>
      <c r="AX78" s="2"/>
      <c r="AZ78" s="11"/>
      <c r="BA78" s="2"/>
      <c r="BB78" s="2"/>
      <c r="BC78">
        <v>0</v>
      </c>
      <c r="BD78">
        <f t="shared" ref="BD78" si="235">$C$15/($C$16-$C$17*BC78)</f>
        <v>0.48123195380173245</v>
      </c>
      <c r="BE78">
        <f t="shared" si="212"/>
        <v>0.62626503729260619</v>
      </c>
      <c r="BF78">
        <f t="shared" si="212"/>
        <v>0.68883096824716772</v>
      </c>
      <c r="BG78">
        <f t="shared" si="212"/>
        <v>0.71985480322593665</v>
      </c>
      <c r="BH78">
        <f t="shared" ref="BH78:BP78" si="236">$C$15/($C$16-$C$17*BG78)</f>
        <v>0.73629830034023724</v>
      </c>
      <c r="BI78">
        <f t="shared" si="236"/>
        <v>0.74532215339190988</v>
      </c>
      <c r="BJ78">
        <f t="shared" si="236"/>
        <v>0.75036889263611883</v>
      </c>
      <c r="BK78">
        <f t="shared" si="236"/>
        <v>0.75322127845104569</v>
      </c>
      <c r="BL78">
        <f t="shared" si="236"/>
        <v>0.75484304188610662</v>
      </c>
      <c r="BM78">
        <f t="shared" si="236"/>
        <v>0.7557682358602863</v>
      </c>
      <c r="BN78">
        <f t="shared" si="236"/>
        <v>0.75629706313297662</v>
      </c>
      <c r="BO78">
        <f t="shared" si="236"/>
        <v>0.75659966555753366</v>
      </c>
      <c r="BP78">
        <f t="shared" si="236"/>
        <v>0.75677292788178863</v>
      </c>
      <c r="BQ78">
        <f t="shared" ref="BQ78:BR78" si="237">$C$15/($C$16-$C$17*BP78)</f>
        <v>0.75687216913954447</v>
      </c>
      <c r="BR78">
        <f t="shared" si="237"/>
        <v>0.75692902430849274</v>
      </c>
      <c r="BS78">
        <f t="shared" ref="BS78" si="238">$C$15/($C$16-$C$17*BR78)</f>
        <v>0.75696160039891547</v>
      </c>
      <c r="BT78" s="2"/>
      <c r="BU78" s="2"/>
    </row>
    <row r="79" spans="1:73" x14ac:dyDescent="0.3">
      <c r="A79" s="4"/>
      <c r="C79" s="11"/>
      <c r="D79">
        <v>10</v>
      </c>
      <c r="E79">
        <f t="shared" si="102"/>
        <v>1.8000000000000002E-2</v>
      </c>
      <c r="F79" s="2"/>
      <c r="G79" s="2"/>
      <c r="H79" s="2">
        <f>$E$7</f>
        <v>873</v>
      </c>
      <c r="I79" s="2">
        <f t="shared" si="215"/>
        <v>876.31544398133883</v>
      </c>
      <c r="J79" s="2">
        <f t="shared" ref="J78:J79" si="239">BE79*K79+BE41</f>
        <v>883.93839674668254</v>
      </c>
      <c r="K79" s="2">
        <f t="shared" ref="K78:K79" si="240">BF79*L79+BF41</f>
        <v>890.88185288922466</v>
      </c>
      <c r="L79" s="2">
        <f t="shared" ref="L78:L79" si="241">BG79*M79+BG41</f>
        <v>896.89912483173271</v>
      </c>
      <c r="M79" s="2">
        <f t="shared" ref="M78:M79" si="242">BH79*N79+BH41</f>
        <v>901.71697033888461</v>
      </c>
      <c r="N79" s="2">
        <f t="shared" si="159"/>
        <v>904.75998677197776</v>
      </c>
      <c r="O79" s="2">
        <f t="shared" si="160"/>
        <v>906.46035977223767</v>
      </c>
      <c r="P79" s="2">
        <f t="shared" si="161"/>
        <v>907.13433983125969</v>
      </c>
      <c r="Q79" s="2">
        <f t="shared" si="162"/>
        <v>907.01300683108082</v>
      </c>
      <c r="R79" s="2">
        <f t="shared" si="163"/>
        <v>906.2687995286708</v>
      </c>
      <c r="S79" s="2">
        <f t="shared" ref="S78:S79" si="243">BN79*T79+BN41</f>
        <v>905.03866945204027</v>
      </c>
      <c r="T79" s="2">
        <f t="shared" ref="T78:T79" si="244">BO79*U79+BO41</f>
        <v>903.44489247819854</v>
      </c>
      <c r="U79" s="2">
        <f t="shared" ref="U78:U79" si="245">BP79*V79+BP41</f>
        <v>902.92489778442814</v>
      </c>
      <c r="V79" s="2">
        <f t="shared" si="200"/>
        <v>904.83371204615855</v>
      </c>
      <c r="W79" s="2">
        <f t="shared" si="228"/>
        <v>910.79533416600702</v>
      </c>
      <c r="X79" s="2">
        <f t="shared" si="229"/>
        <v>923</v>
      </c>
      <c r="Y79" s="2"/>
      <c r="Z79" s="2"/>
      <c r="AC79" s="11"/>
      <c r="AD79" s="2"/>
      <c r="AE79" s="2"/>
      <c r="AF79">
        <f t="shared" si="182"/>
        <v>-2593702472.2129169</v>
      </c>
      <c r="AG79">
        <f t="shared" si="182"/>
        <v>-2946074408.9408202</v>
      </c>
      <c r="AH79">
        <f t="shared" si="182"/>
        <v>-3202827812.1759715</v>
      </c>
      <c r="AI79">
        <f t="shared" si="182"/>
        <v>-3239088561.3681035</v>
      </c>
      <c r="AJ79">
        <f t="shared" si="183"/>
        <v>-3273247675.9226422</v>
      </c>
      <c r="AK79">
        <f t="shared" si="130"/>
        <v>-3317002626.9826193</v>
      </c>
      <c r="AL79">
        <f t="shared" si="131"/>
        <v>-3308040430.4481955</v>
      </c>
      <c r="AM79">
        <f t="shared" si="132"/>
        <v>-3299593846.1597328</v>
      </c>
      <c r="AN79">
        <f t="shared" si="133"/>
        <v>-3291382412.0377965</v>
      </c>
      <c r="AO79">
        <f t="shared" si="134"/>
        <v>-3283014886.4125443</v>
      </c>
      <c r="AP79">
        <f t="shared" si="135"/>
        <v>-3274044900.3230176</v>
      </c>
      <c r="AQ79">
        <f t="shared" si="136"/>
        <v>-3264006503.2656326</v>
      </c>
      <c r="AR79">
        <f t="shared" si="230"/>
        <v>-3192166289.3285031</v>
      </c>
      <c r="AS79">
        <f t="shared" si="231"/>
        <v>-3127969321.2974916</v>
      </c>
      <c r="AT79">
        <f t="shared" si="232"/>
        <v>-3060114197.3481808</v>
      </c>
      <c r="AU79">
        <f t="shared" si="233"/>
        <v>-2980753648.1369882</v>
      </c>
      <c r="AV79">
        <f t="shared" si="234"/>
        <v>-2650952595.3274636</v>
      </c>
      <c r="AW79" s="2"/>
      <c r="AX79" s="2"/>
      <c r="AZ79" s="11"/>
      <c r="BA79" s="2"/>
      <c r="BB79" s="2"/>
      <c r="BC79">
        <v>0</v>
      </c>
      <c r="BD79">
        <f t="shared" ref="BD79" si="246">$C$15/($C$16-$C$17*BC79)</f>
        <v>0.48123195380173245</v>
      </c>
      <c r="BE79">
        <f t="shared" si="212"/>
        <v>0.62626503729260619</v>
      </c>
      <c r="BF79">
        <f t="shared" si="212"/>
        <v>0.68883096824716772</v>
      </c>
      <c r="BG79">
        <f t="shared" si="212"/>
        <v>0.71985480322593665</v>
      </c>
      <c r="BH79">
        <f t="shared" ref="BH79:BP79" si="247">$C$15/($C$16-$C$17*BG79)</f>
        <v>0.73629830034023724</v>
      </c>
      <c r="BI79">
        <f t="shared" si="247"/>
        <v>0.74532215339190988</v>
      </c>
      <c r="BJ79">
        <f t="shared" si="247"/>
        <v>0.75036889263611883</v>
      </c>
      <c r="BK79">
        <f t="shared" si="247"/>
        <v>0.75322127845104569</v>
      </c>
      <c r="BL79">
        <f t="shared" si="247"/>
        <v>0.75484304188610662</v>
      </c>
      <c r="BM79">
        <f t="shared" si="247"/>
        <v>0.7557682358602863</v>
      </c>
      <c r="BN79">
        <f t="shared" si="247"/>
        <v>0.75629706313297662</v>
      </c>
      <c r="BO79">
        <f t="shared" si="247"/>
        <v>0.75659966555753366</v>
      </c>
      <c r="BP79">
        <f t="shared" si="247"/>
        <v>0.75677292788178863</v>
      </c>
      <c r="BQ79">
        <f t="shared" ref="BQ79:BR79" si="248">$C$15/($C$16-$C$17*BP79)</f>
        <v>0.75687216913954447</v>
      </c>
      <c r="BR79">
        <f t="shared" si="248"/>
        <v>0.75692902430849274</v>
      </c>
      <c r="BS79">
        <f t="shared" ref="BS79" si="249">$C$15/($C$16-$C$17*BR79)</f>
        <v>0.75696160039891547</v>
      </c>
      <c r="BT79" s="2"/>
      <c r="BU79" s="2"/>
    </row>
    <row r="80" spans="1:73" x14ac:dyDescent="0.3">
      <c r="A80" s="4"/>
      <c r="C80" s="11"/>
      <c r="D80">
        <v>9</v>
      </c>
      <c r="E80">
        <f t="shared" si="102"/>
        <v>1.6E-2</v>
      </c>
      <c r="F80" s="2"/>
      <c r="G80" s="2">
        <f>$E$7</f>
        <v>873</v>
      </c>
      <c r="H80" s="2">
        <f t="shared" ref="H80:I80" si="250">BC80*I80+BC42</f>
        <v>868.72797973414424</v>
      </c>
      <c r="I80" s="2">
        <f t="shared" si="250"/>
        <v>873.46234830610638</v>
      </c>
      <c r="J80" s="2">
        <f t="shared" ref="J80" si="251">BE80*K80+BE42</f>
        <v>880.87353056133338</v>
      </c>
      <c r="K80" s="2">
        <f t="shared" ref="K80" si="252">BF80*L80+BF42</f>
        <v>887.49372467817216</v>
      </c>
      <c r="L80" s="2">
        <f t="shared" ref="L80" si="253">BG80*M80+BG42</f>
        <v>893.15410188550754</v>
      </c>
      <c r="M80" s="2">
        <f t="shared" ref="M80" si="254">BH80*N80+BH42</f>
        <v>897.67557092784136</v>
      </c>
      <c r="N80" s="2">
        <f t="shared" si="159"/>
        <v>900.68861065251235</v>
      </c>
      <c r="O80" s="2">
        <f t="shared" si="160"/>
        <v>902.49170961206482</v>
      </c>
      <c r="P80" s="2">
        <f t="shared" si="161"/>
        <v>903.31396173929352</v>
      </c>
      <c r="Q80" s="2">
        <f t="shared" si="162"/>
        <v>903.32990147712758</v>
      </c>
      <c r="R80" s="2">
        <f t="shared" si="163"/>
        <v>902.6737802546163</v>
      </c>
      <c r="S80" s="2">
        <f t="shared" ref="S80" si="255">BN80*T80+BN42</f>
        <v>901.45298342512808</v>
      </c>
      <c r="T80" s="2">
        <f t="shared" ref="T80" si="256">BO80*U80+BO42</f>
        <v>899.76060226663185</v>
      </c>
      <c r="U80" s="2">
        <f t="shared" ref="U80" si="257">BP80*V80+BP42</f>
        <v>898.53617993078376</v>
      </c>
      <c r="V80" s="2">
        <f t="shared" ref="V80" si="258">BQ80*W80+BQ42</f>
        <v>898.63312928894845</v>
      </c>
      <c r="W80" s="2">
        <f t="shared" si="228"/>
        <v>901.02176358743441</v>
      </c>
      <c r="X80" s="2">
        <f t="shared" ref="X80:X88" si="259">BS80*Y80+BS42</f>
        <v>906.96861273062802</v>
      </c>
      <c r="Y80" s="2">
        <f t="shared" si="229"/>
        <v>923</v>
      </c>
      <c r="Z80" s="2"/>
      <c r="AC80" s="11"/>
      <c r="AD80" s="2"/>
      <c r="AE80">
        <f t="shared" si="182"/>
        <v>-2439561865.3295197</v>
      </c>
      <c r="AF80">
        <f t="shared" si="182"/>
        <v>-2702702104.7464862</v>
      </c>
      <c r="AG80">
        <f t="shared" si="182"/>
        <v>-3010849476.2921205</v>
      </c>
      <c r="AH80">
        <f t="shared" si="182"/>
        <v>-3196959682.0199299</v>
      </c>
      <c r="AI80">
        <f t="shared" si="182"/>
        <v>-3228479061.9824362</v>
      </c>
      <c r="AJ80">
        <f t="shared" si="183"/>
        <v>-3257026693.1552858</v>
      </c>
      <c r="AK80">
        <f t="shared" si="130"/>
        <v>-3290247697.1015806</v>
      </c>
      <c r="AL80">
        <f t="shared" si="131"/>
        <v>-3287328010.2166634</v>
      </c>
      <c r="AM80">
        <f t="shared" si="132"/>
        <v>-3283259208.3749824</v>
      </c>
      <c r="AN80">
        <f t="shared" si="133"/>
        <v>-3278180864.6327324</v>
      </c>
      <c r="AO80">
        <f t="shared" si="134"/>
        <v>-3272062490.6758189</v>
      </c>
      <c r="AP80">
        <f t="shared" si="135"/>
        <v>-3264768601.4744964</v>
      </c>
      <c r="AQ80">
        <f t="shared" si="136"/>
        <v>-3256106183.6637363</v>
      </c>
      <c r="AR80">
        <f t="shared" ref="AR80" si="260">(-($C$8*$C$7)/$C$4)*T41</f>
        <v>-3206814935.0908556</v>
      </c>
      <c r="AS80">
        <f t="shared" ref="AS80" si="261">(-($C$8*$C$7)/$C$4)*U41</f>
        <v>-3163164715.6670723</v>
      </c>
      <c r="AT80">
        <f t="shared" ref="AT80" si="262">(-($C$8*$C$7)/$C$4)*V41</f>
        <v>-3118878160.6339622</v>
      </c>
      <c r="AU80">
        <f t="shared" ref="AU80" si="263">(-($C$8*$C$7)/$C$4)*W41</f>
        <v>-3069188204.895164</v>
      </c>
      <c r="AV80">
        <f t="shared" ref="AV80" si="264">(-($C$8*$C$7)/$C$4)*X41</f>
        <v>-2790314628.673285</v>
      </c>
      <c r="AW80">
        <f t="shared" ref="AW80" si="265">(-($C$8*$C$7)/$C$4)*Y41</f>
        <v>-2520381101.1782737</v>
      </c>
      <c r="AX80" s="2"/>
      <c r="AZ80" s="11"/>
      <c r="BA80" s="2"/>
      <c r="BB80">
        <v>0</v>
      </c>
      <c r="BC80">
        <f t="shared" ref="BB80:BG88" si="266">$C$15/($C$16-$C$17*BB80)</f>
        <v>0.48123195380173245</v>
      </c>
      <c r="BD80">
        <f t="shared" si="266"/>
        <v>0.62626503729260619</v>
      </c>
      <c r="BE80">
        <f t="shared" si="266"/>
        <v>0.68883096824716772</v>
      </c>
      <c r="BF80">
        <f t="shared" si="266"/>
        <v>0.71985480322593665</v>
      </c>
      <c r="BG80">
        <f t="shared" si="266"/>
        <v>0.73629830034023724</v>
      </c>
      <c r="BH80">
        <f t="shared" ref="BH80:BP80" si="267">$C$15/($C$16-$C$17*BG80)</f>
        <v>0.74532215339190988</v>
      </c>
      <c r="BI80">
        <f t="shared" si="267"/>
        <v>0.75036889263611883</v>
      </c>
      <c r="BJ80">
        <f t="shared" si="267"/>
        <v>0.75322127845104569</v>
      </c>
      <c r="BK80">
        <f t="shared" si="267"/>
        <v>0.75484304188610662</v>
      </c>
      <c r="BL80">
        <f t="shared" si="267"/>
        <v>0.7557682358602863</v>
      </c>
      <c r="BM80">
        <f t="shared" si="267"/>
        <v>0.75629706313297662</v>
      </c>
      <c r="BN80">
        <f t="shared" si="267"/>
        <v>0.75659966555753366</v>
      </c>
      <c r="BO80">
        <f t="shared" si="267"/>
        <v>0.75677292788178863</v>
      </c>
      <c r="BP80">
        <f t="shared" si="267"/>
        <v>0.75687216913954447</v>
      </c>
      <c r="BQ80">
        <f t="shared" ref="BQ80:BR80" si="268">$C$15/($C$16-$C$17*BP80)</f>
        <v>0.75692902430849274</v>
      </c>
      <c r="BR80">
        <f t="shared" si="268"/>
        <v>0.75696160039891547</v>
      </c>
      <c r="BS80">
        <f t="shared" ref="BS80:BT80" si="269">$C$15/($C$16-$C$17*BR80)</f>
        <v>0.7569802666614166</v>
      </c>
      <c r="BT80">
        <f t="shared" si="269"/>
        <v>0.75699096293794377</v>
      </c>
      <c r="BU80" s="2"/>
    </row>
    <row r="81" spans="1:73" x14ac:dyDescent="0.3">
      <c r="A81" s="4"/>
      <c r="C81" s="11"/>
      <c r="D81">
        <v>8</v>
      </c>
      <c r="E81">
        <f t="shared" si="102"/>
        <v>1.4E-2</v>
      </c>
      <c r="F81" s="2">
        <f>$E$7</f>
        <v>873</v>
      </c>
      <c r="G81" s="2">
        <f t="shared" ref="G81:G88" si="270">BB81*H81+BB43</f>
        <v>860.66255138981455</v>
      </c>
      <c r="H81" s="2">
        <f t="shared" ref="H81:H88" si="271">BC81*I81+BC43</f>
        <v>861.00101055323773</v>
      </c>
      <c r="I81" s="2">
        <f t="shared" ref="I81:I88" si="272">BD81*J81+BD43</f>
        <v>867.44645437065833</v>
      </c>
      <c r="J81" s="2">
        <f t="shared" ref="J81:J88" si="273">BE81*K81+BE43</f>
        <v>875.23542552074355</v>
      </c>
      <c r="K81" s="2">
        <f t="shared" ref="K81:K88" si="274">BF81*L81+BF43</f>
        <v>882.05717205218173</v>
      </c>
      <c r="L81" s="2">
        <f t="shared" ref="L81:L88" si="275">BG81*M81+BG43</f>
        <v>887.82030798623384</v>
      </c>
      <c r="M81" s="2">
        <f t="shared" ref="M81:M88" si="276">BH81*N81+BH43</f>
        <v>892.42498531670776</v>
      </c>
      <c r="N81" s="2">
        <f t="shared" si="159"/>
        <v>895.6494112758628</v>
      </c>
      <c r="O81" s="2">
        <f t="shared" si="160"/>
        <v>897.70836194943126</v>
      </c>
      <c r="P81" s="2">
        <f t="shared" si="161"/>
        <v>898.77454517666729</v>
      </c>
      <c r="Q81" s="2">
        <f t="shared" si="162"/>
        <v>898.98413163553164</v>
      </c>
      <c r="R81" s="2">
        <f t="shared" si="163"/>
        <v>898.44340842223698</v>
      </c>
      <c r="S81" s="2">
        <f t="shared" ref="S81:S88" si="277">BN81*T81+BN43</f>
        <v>897.23575269760863</v>
      </c>
      <c r="T81" s="2">
        <f t="shared" ref="T81:T88" si="278">BO81*U81+BO43</f>
        <v>895.42843911834882</v>
      </c>
      <c r="U81" s="2">
        <f t="shared" ref="U81:U88" si="279">BP81*V81+BP43</f>
        <v>893.62212791625268</v>
      </c>
      <c r="V81" s="2">
        <f t="shared" ref="V81:V88" si="280">BQ81*W81+BQ43</f>
        <v>892.33139657212428</v>
      </c>
      <c r="W81" s="2">
        <f t="shared" ref="W81:W88" si="281">BR81*X81+BR43</f>
        <v>892.09335794361755</v>
      </c>
      <c r="X81" s="2">
        <f t="shared" si="259"/>
        <v>893.56481123059132</v>
      </c>
      <c r="Y81" s="2">
        <f t="shared" ref="Y81:Y87" si="282">BT81*Z81+BT43</f>
        <v>901.44538200618467</v>
      </c>
      <c r="Z81" s="2">
        <f t="shared" si="229"/>
        <v>923</v>
      </c>
      <c r="AC81" s="11"/>
      <c r="AD81">
        <f t="shared" ref="AD81:AD87" si="283">(-($C$8*$C$7)/$C$4)*F42</f>
        <v>-2303647638.4958253</v>
      </c>
      <c r="AE81">
        <f t="shared" ref="AE81:AE88" si="284">(-($C$8*$C$7)/$C$4)*G42</f>
        <v>-2504965476.8006487</v>
      </c>
      <c r="AF81">
        <f t="shared" ref="AF81:AF88" si="285">(-($C$8*$C$7)/$C$4)*H42</f>
        <v>-2808350331.7811427</v>
      </c>
      <c r="AG81">
        <f t="shared" ref="AG81:AG88" si="286">(-($C$8*$C$7)/$C$4)*I42</f>
        <v>-3050595620.9793501</v>
      </c>
      <c r="AH81">
        <f t="shared" ref="AH81:AH88" si="287">(-($C$8*$C$7)/$C$4)*J42</f>
        <v>-3184837039.2261901</v>
      </c>
      <c r="AI81">
        <f t="shared" si="182"/>
        <v>-3213517220.8029962</v>
      </c>
      <c r="AJ81">
        <f t="shared" si="183"/>
        <v>-3238788360.8192058</v>
      </c>
      <c r="AK81">
        <f t="shared" si="130"/>
        <v>-3265512410.3970118</v>
      </c>
      <c r="AL81">
        <f t="shared" si="131"/>
        <v>-3267201950.794775</v>
      </c>
      <c r="AM81">
        <f t="shared" si="132"/>
        <v>-3266644905.2058463</v>
      </c>
      <c r="AN81">
        <f t="shared" si="133"/>
        <v>-3264206519.4389844</v>
      </c>
      <c r="AO81">
        <f t="shared" si="134"/>
        <v>-3260069309.2275939</v>
      </c>
      <c r="AP81">
        <f t="shared" si="135"/>
        <v>-3254293844.9403372</v>
      </c>
      <c r="AQ81">
        <f t="shared" si="136"/>
        <v>-3246866141.9920712</v>
      </c>
      <c r="AR81">
        <f t="shared" ref="AR81:AR88" si="288">(-($C$8*$C$7)/$C$4)*T42</f>
        <v>-3212751130.2071095</v>
      </c>
      <c r="AS81">
        <f t="shared" ref="AS81:AS88" si="289">(-($C$8*$C$7)/$C$4)*U42</f>
        <v>-3182599521.4969964</v>
      </c>
      <c r="AT81">
        <f t="shared" ref="AT81:AT88" si="290">(-($C$8*$C$7)/$C$4)*V42</f>
        <v>-3153261185.982183</v>
      </c>
      <c r="AU81">
        <f t="shared" ref="AU81:AU88" si="291">(-($C$8*$C$7)/$C$4)*W42</f>
        <v>-3122194340.1895952</v>
      </c>
      <c r="AV81">
        <f t="shared" ref="AV81:AV88" si="292">(-($C$8*$C$7)/$C$4)*X42</f>
        <v>-2911291138.218863</v>
      </c>
      <c r="AW81">
        <f t="shared" ref="AW81:AW88" si="293">(-($C$8*$C$7)/$C$4)*Y42</f>
        <v>-2605379858.5999746</v>
      </c>
      <c r="AX81">
        <f t="shared" ref="AX81:AX88" si="294">(-($C$8*$C$7)/$C$4)*Z42</f>
        <v>-2397708667.318171</v>
      </c>
      <c r="AZ81" s="11"/>
      <c r="BA81">
        <v>0</v>
      </c>
      <c r="BB81">
        <f t="shared" si="266"/>
        <v>0.48123195380173245</v>
      </c>
      <c r="BC81">
        <f t="shared" si="266"/>
        <v>0.62626503729260619</v>
      </c>
      <c r="BD81">
        <f t="shared" si="266"/>
        <v>0.68883096824716772</v>
      </c>
      <c r="BE81">
        <f t="shared" ref="BE81:BU81" si="295">$C$15/($C$16-$C$17*BD81)</f>
        <v>0.71985480322593665</v>
      </c>
      <c r="BF81">
        <f t="shared" si="295"/>
        <v>0.73629830034023724</v>
      </c>
      <c r="BG81">
        <f t="shared" si="295"/>
        <v>0.74532215339190988</v>
      </c>
      <c r="BH81">
        <f t="shared" si="295"/>
        <v>0.75036889263611883</v>
      </c>
      <c r="BI81">
        <f t="shared" ref="BI81:BP81" si="296">$C$15/($C$16-$C$17*BH81)</f>
        <v>0.75322127845104569</v>
      </c>
      <c r="BJ81">
        <f t="shared" si="296"/>
        <v>0.75484304188610662</v>
      </c>
      <c r="BK81">
        <f t="shared" si="296"/>
        <v>0.7557682358602863</v>
      </c>
      <c r="BL81">
        <f t="shared" si="296"/>
        <v>0.75629706313297662</v>
      </c>
      <c r="BM81">
        <f t="shared" si="296"/>
        <v>0.75659966555753366</v>
      </c>
      <c r="BN81">
        <f t="shared" si="296"/>
        <v>0.75677292788178863</v>
      </c>
      <c r="BO81">
        <f t="shared" si="296"/>
        <v>0.75687216913954447</v>
      </c>
      <c r="BP81">
        <f t="shared" si="296"/>
        <v>0.75692902430849274</v>
      </c>
      <c r="BQ81">
        <f t="shared" si="295"/>
        <v>0.75696160039891547</v>
      </c>
      <c r="BR81">
        <f t="shared" si="295"/>
        <v>0.7569802666614166</v>
      </c>
      <c r="BS81">
        <f t="shared" si="295"/>
        <v>0.75699096293794377</v>
      </c>
      <c r="BT81">
        <f t="shared" si="295"/>
        <v>0.75699709233179424</v>
      </c>
      <c r="BU81">
        <f t="shared" si="295"/>
        <v>0.75700060476412556</v>
      </c>
    </row>
    <row r="82" spans="1:73" x14ac:dyDescent="0.3">
      <c r="A82" s="4"/>
      <c r="C82" s="11"/>
      <c r="D82">
        <v>7</v>
      </c>
      <c r="E82">
        <f t="shared" si="102"/>
        <v>1.2E-2</v>
      </c>
      <c r="F82" s="2">
        <f t="shared" ref="F82:F88" si="297">$E$7</f>
        <v>873</v>
      </c>
      <c r="G82" s="2">
        <f t="shared" si="270"/>
        <v>863.75928816594364</v>
      </c>
      <c r="H82" s="2">
        <f t="shared" si="271"/>
        <v>864.64257050108881</v>
      </c>
      <c r="I82" s="2">
        <f t="shared" si="272"/>
        <v>870.00608890007641</v>
      </c>
      <c r="J82" s="2">
        <f t="shared" si="273"/>
        <v>876.34870695117024</v>
      </c>
      <c r="K82" s="2">
        <f t="shared" si="274"/>
        <v>882.05661947512783</v>
      </c>
      <c r="L82" s="2">
        <f t="shared" si="275"/>
        <v>887.00408257809818</v>
      </c>
      <c r="M82" s="2">
        <f t="shared" si="276"/>
        <v>891.08064248659412</v>
      </c>
      <c r="N82" s="2">
        <f t="shared" si="159"/>
        <v>894.11744793039134</v>
      </c>
      <c r="O82" s="2">
        <f t="shared" si="160"/>
        <v>896.24541876587557</v>
      </c>
      <c r="P82" s="2">
        <f t="shared" si="161"/>
        <v>897.58530470433902</v>
      </c>
      <c r="Q82" s="2">
        <f t="shared" si="162"/>
        <v>898.24726997880555</v>
      </c>
      <c r="R82" s="2">
        <f t="shared" si="163"/>
        <v>898.333150568782</v>
      </c>
      <c r="S82" s="2">
        <f t="shared" si="277"/>
        <v>897.94047536645758</v>
      </c>
      <c r="T82" s="2">
        <f t="shared" si="278"/>
        <v>897.16766406097702</v>
      </c>
      <c r="U82" s="2">
        <f t="shared" si="279"/>
        <v>896.46412939895117</v>
      </c>
      <c r="V82" s="2">
        <f t="shared" si="280"/>
        <v>896.22514345808054</v>
      </c>
      <c r="W82" s="2">
        <f t="shared" si="281"/>
        <v>896.8507410598354</v>
      </c>
      <c r="X82" s="2">
        <f t="shared" si="259"/>
        <v>898.80058649458442</v>
      </c>
      <c r="Y82" s="2">
        <f t="shared" si="282"/>
        <v>905.46992166209657</v>
      </c>
      <c r="Z82" s="2">
        <f t="shared" si="229"/>
        <v>923</v>
      </c>
      <c r="AC82" s="11"/>
      <c r="AD82">
        <f t="shared" si="283"/>
        <v>-2407483272.2489915</v>
      </c>
      <c r="AE82">
        <f t="shared" si="284"/>
        <v>-2633464594.156137</v>
      </c>
      <c r="AF82">
        <f t="shared" si="285"/>
        <v>-2896246684.0211558</v>
      </c>
      <c r="AG82">
        <f t="shared" si="286"/>
        <v>-3076543262.9765849</v>
      </c>
      <c r="AH82">
        <f t="shared" si="287"/>
        <v>-3173535614.7890697</v>
      </c>
      <c r="AI82">
        <f t="shared" si="182"/>
        <v>-3199799824.042172</v>
      </c>
      <c r="AJ82">
        <f t="shared" si="183"/>
        <v>-3222632195.2360487</v>
      </c>
      <c r="AK82">
        <f t="shared" si="130"/>
        <v>-3245026050.6180401</v>
      </c>
      <c r="AL82">
        <f t="shared" si="131"/>
        <v>-3249899795.1566377</v>
      </c>
      <c r="AM82">
        <f t="shared" si="132"/>
        <v>-3251980467.7949142</v>
      </c>
      <c r="AN82">
        <f t="shared" si="133"/>
        <v>-3251720423.8230329</v>
      </c>
      <c r="AO82">
        <f t="shared" si="134"/>
        <v>-3249411100.1704922</v>
      </c>
      <c r="AP82">
        <f t="shared" si="135"/>
        <v>-3245232910.6866403</v>
      </c>
      <c r="AQ82">
        <f t="shared" si="136"/>
        <v>-3239296686.3600287</v>
      </c>
      <c r="AR82">
        <f t="shared" si="288"/>
        <v>-3215850853.0518713</v>
      </c>
      <c r="AS82">
        <f t="shared" si="289"/>
        <v>-3195144055.1102915</v>
      </c>
      <c r="AT82">
        <f t="shared" si="290"/>
        <v>-3175884971.7668166</v>
      </c>
      <c r="AU82">
        <f t="shared" si="291"/>
        <v>-3156985058.60496</v>
      </c>
      <c r="AV82">
        <f t="shared" si="292"/>
        <v>-3007799976.635468</v>
      </c>
      <c r="AW82">
        <f t="shared" si="293"/>
        <v>-2749231893.0856037</v>
      </c>
      <c r="AX82">
        <f t="shared" si="294"/>
        <v>-2521276358.1529341</v>
      </c>
      <c r="AZ82" s="11"/>
      <c r="BA82">
        <v>0</v>
      </c>
      <c r="BB82">
        <f t="shared" si="266"/>
        <v>0.48123195380173245</v>
      </c>
      <c r="BC82">
        <f t="shared" si="266"/>
        <v>0.62626503729260619</v>
      </c>
      <c r="BD82">
        <f t="shared" si="266"/>
        <v>0.68883096824716772</v>
      </c>
      <c r="BE82">
        <f t="shared" ref="BE82:BU82" si="298">$C$15/($C$16-$C$17*BD82)</f>
        <v>0.71985480322593665</v>
      </c>
      <c r="BF82">
        <f t="shared" si="298"/>
        <v>0.73629830034023724</v>
      </c>
      <c r="BG82">
        <f t="shared" si="298"/>
        <v>0.74532215339190988</v>
      </c>
      <c r="BH82">
        <f t="shared" si="298"/>
        <v>0.75036889263611883</v>
      </c>
      <c r="BI82">
        <f t="shared" si="298"/>
        <v>0.75322127845104569</v>
      </c>
      <c r="BJ82">
        <f t="shared" si="298"/>
        <v>0.75484304188610662</v>
      </c>
      <c r="BK82">
        <f t="shared" si="298"/>
        <v>0.7557682358602863</v>
      </c>
      <c r="BL82">
        <f t="shared" si="298"/>
        <v>0.75629706313297662</v>
      </c>
      <c r="BM82">
        <f t="shared" si="298"/>
        <v>0.75659966555753366</v>
      </c>
      <c r="BN82">
        <f t="shared" si="298"/>
        <v>0.75677292788178863</v>
      </c>
      <c r="BO82">
        <f t="shared" si="298"/>
        <v>0.75687216913954447</v>
      </c>
      <c r="BP82">
        <f t="shared" si="298"/>
        <v>0.75692902430849274</v>
      </c>
      <c r="BQ82">
        <f t="shared" si="298"/>
        <v>0.75696160039891547</v>
      </c>
      <c r="BR82">
        <f t="shared" si="298"/>
        <v>0.7569802666614166</v>
      </c>
      <c r="BS82">
        <f t="shared" si="298"/>
        <v>0.75699096293794377</v>
      </c>
      <c r="BT82">
        <f t="shared" si="298"/>
        <v>0.75699709233179424</v>
      </c>
      <c r="BU82">
        <f t="shared" si="298"/>
        <v>0.75700060476412556</v>
      </c>
    </row>
    <row r="83" spans="1:73" x14ac:dyDescent="0.3">
      <c r="A83" s="4"/>
      <c r="C83" s="11"/>
      <c r="D83">
        <v>6</v>
      </c>
      <c r="E83">
        <f t="shared" si="102"/>
        <v>0.01</v>
      </c>
      <c r="F83" s="2">
        <f t="shared" si="297"/>
        <v>873</v>
      </c>
      <c r="G83" s="2">
        <f t="shared" si="270"/>
        <v>866.60910253497718</v>
      </c>
      <c r="H83" s="2">
        <f t="shared" si="271"/>
        <v>867.77797579436333</v>
      </c>
      <c r="I83" s="2">
        <f t="shared" si="272"/>
        <v>872.1883867447217</v>
      </c>
      <c r="J83" s="2">
        <f t="shared" si="273"/>
        <v>877.35436661120968</v>
      </c>
      <c r="K83" s="2">
        <f t="shared" si="274"/>
        <v>882.1455866953271</v>
      </c>
      <c r="L83" s="2">
        <f t="shared" si="275"/>
        <v>886.41768053575083</v>
      </c>
      <c r="M83" s="2">
        <f t="shared" si="276"/>
        <v>890.05442828940954</v>
      </c>
      <c r="N83" s="2">
        <f t="shared" si="159"/>
        <v>892.92042412086448</v>
      </c>
      <c r="O83" s="2">
        <f t="shared" si="160"/>
        <v>895.08915863136451</v>
      </c>
      <c r="P83" s="2">
        <f t="shared" si="161"/>
        <v>896.64325914209837</v>
      </c>
      <c r="Q83" s="2">
        <f t="shared" si="162"/>
        <v>897.67108149586056</v>
      </c>
      <c r="R83" s="2">
        <f t="shared" si="163"/>
        <v>898.26638052030523</v>
      </c>
      <c r="S83" s="2">
        <f t="shared" si="277"/>
        <v>898.5302268926315</v>
      </c>
      <c r="T83" s="2">
        <f t="shared" si="278"/>
        <v>898.57459701206119</v>
      </c>
      <c r="U83" s="2">
        <f t="shared" si="279"/>
        <v>898.74344878424745</v>
      </c>
      <c r="V83" s="2">
        <f t="shared" si="280"/>
        <v>899.34869465482382</v>
      </c>
      <c r="W83" s="2">
        <f t="shared" si="281"/>
        <v>900.69977564555563</v>
      </c>
      <c r="X83" s="2">
        <f t="shared" si="259"/>
        <v>903.13238710673636</v>
      </c>
      <c r="Y83" s="2">
        <f t="shared" si="282"/>
        <v>909.01720612291069</v>
      </c>
      <c r="Z83" s="2">
        <f t="shared" si="229"/>
        <v>923</v>
      </c>
      <c r="AC83" s="11"/>
      <c r="AD83">
        <f t="shared" si="283"/>
        <v>-2572215098.4701867</v>
      </c>
      <c r="AE83">
        <f t="shared" si="284"/>
        <v>-2761644006.572681</v>
      </c>
      <c r="AF83">
        <f t="shared" si="285"/>
        <v>-2964476643.3654552</v>
      </c>
      <c r="AG83">
        <f t="shared" si="286"/>
        <v>-3094655761.4980979</v>
      </c>
      <c r="AH83">
        <f t="shared" si="287"/>
        <v>-3165186417.3900704</v>
      </c>
      <c r="AI83">
        <f t="shared" si="182"/>
        <v>-3189018172.2727447</v>
      </c>
      <c r="AJ83">
        <f t="shared" si="183"/>
        <v>-3209692557.7534676</v>
      </c>
      <c r="AK83">
        <f t="shared" si="130"/>
        <v>-3228969877.1237803</v>
      </c>
      <c r="AL83">
        <f t="shared" si="131"/>
        <v>-3235872502.5095778</v>
      </c>
      <c r="AM83">
        <f t="shared" si="132"/>
        <v>-3239853065.1585813</v>
      </c>
      <c r="AN83">
        <f t="shared" si="133"/>
        <v>-3241364809.0225482</v>
      </c>
      <c r="AO83">
        <f t="shared" si="134"/>
        <v>-3240739913.5557475</v>
      </c>
      <c r="AP83">
        <f t="shared" si="135"/>
        <v>-3238226595.3043051</v>
      </c>
      <c r="AQ83">
        <f t="shared" si="136"/>
        <v>-3234022361.7240067</v>
      </c>
      <c r="AR83">
        <f t="shared" si="288"/>
        <v>-3218359498.0524726</v>
      </c>
      <c r="AS83">
        <f t="shared" si="289"/>
        <v>-3204617365.7119393</v>
      </c>
      <c r="AT83">
        <f t="shared" si="290"/>
        <v>-3192554700.8943501</v>
      </c>
      <c r="AU83">
        <f t="shared" si="291"/>
        <v>-3181960393.3756051</v>
      </c>
      <c r="AV83">
        <f t="shared" si="292"/>
        <v>-3081637457.4092708</v>
      </c>
      <c r="AW83">
        <f t="shared" si="293"/>
        <v>-2889046891.9669042</v>
      </c>
      <c r="AX83">
        <f t="shared" si="294"/>
        <v>-2704347540.7500858</v>
      </c>
      <c r="AZ83" s="11"/>
      <c r="BA83">
        <v>0</v>
      </c>
      <c r="BB83">
        <f t="shared" si="266"/>
        <v>0.48123195380173245</v>
      </c>
      <c r="BC83">
        <f t="shared" si="266"/>
        <v>0.62626503729260619</v>
      </c>
      <c r="BD83">
        <f t="shared" si="266"/>
        <v>0.68883096824716772</v>
      </c>
      <c r="BE83">
        <f t="shared" ref="BE83:BU83" si="299">$C$15/($C$16-$C$17*BD83)</f>
        <v>0.71985480322593665</v>
      </c>
      <c r="BF83">
        <f t="shared" si="299"/>
        <v>0.73629830034023724</v>
      </c>
      <c r="BG83">
        <f t="shared" si="299"/>
        <v>0.74532215339190988</v>
      </c>
      <c r="BH83">
        <f t="shared" si="299"/>
        <v>0.75036889263611883</v>
      </c>
      <c r="BI83">
        <f t="shared" si="299"/>
        <v>0.75322127845104569</v>
      </c>
      <c r="BJ83">
        <f t="shared" si="299"/>
        <v>0.75484304188610662</v>
      </c>
      <c r="BK83">
        <f t="shared" si="299"/>
        <v>0.7557682358602863</v>
      </c>
      <c r="BL83">
        <f t="shared" si="299"/>
        <v>0.75629706313297662</v>
      </c>
      <c r="BM83">
        <f t="shared" si="299"/>
        <v>0.75659966555753366</v>
      </c>
      <c r="BN83">
        <f t="shared" si="299"/>
        <v>0.75677292788178863</v>
      </c>
      <c r="BO83">
        <f t="shared" si="299"/>
        <v>0.75687216913954447</v>
      </c>
      <c r="BP83">
        <f t="shared" si="299"/>
        <v>0.75692902430849274</v>
      </c>
      <c r="BQ83">
        <f t="shared" si="299"/>
        <v>0.75696160039891547</v>
      </c>
      <c r="BR83">
        <f t="shared" si="299"/>
        <v>0.7569802666614166</v>
      </c>
      <c r="BS83">
        <f t="shared" si="299"/>
        <v>0.75699096293794377</v>
      </c>
      <c r="BT83">
        <f t="shared" si="299"/>
        <v>0.75699709233179424</v>
      </c>
      <c r="BU83">
        <f t="shared" si="299"/>
        <v>0.75700060476412556</v>
      </c>
    </row>
    <row r="84" spans="1:73" x14ac:dyDescent="0.3">
      <c r="A84" s="4"/>
      <c r="C84" s="11"/>
      <c r="D84">
        <v>5</v>
      </c>
      <c r="E84">
        <f t="shared" si="102"/>
        <v>8.0000000000000002E-3</v>
      </c>
      <c r="F84" s="2">
        <f t="shared" si="297"/>
        <v>873</v>
      </c>
      <c r="G84" s="2">
        <f t="shared" si="270"/>
        <v>868.92056461013203</v>
      </c>
      <c r="H84" s="2">
        <f t="shared" si="271"/>
        <v>870.26540430291095</v>
      </c>
      <c r="I84" s="2">
        <f t="shared" si="272"/>
        <v>873.93612678037107</v>
      </c>
      <c r="J84" s="2">
        <f t="shared" si="273"/>
        <v>878.20778091530167</v>
      </c>
      <c r="K84" s="2">
        <f t="shared" si="274"/>
        <v>882.28686325829881</v>
      </c>
      <c r="L84" s="2">
        <f t="shared" si="275"/>
        <v>886.02693833887247</v>
      </c>
      <c r="M84" s="2">
        <f t="shared" si="276"/>
        <v>889.314202759144</v>
      </c>
      <c r="N84" s="2">
        <f t="shared" si="159"/>
        <v>892.03770912289224</v>
      </c>
      <c r="O84" s="2">
        <f t="shared" si="160"/>
        <v>894.23398683660344</v>
      </c>
      <c r="P84" s="2">
        <f t="shared" si="161"/>
        <v>895.95886929959761</v>
      </c>
      <c r="Q84" s="2">
        <f t="shared" si="162"/>
        <v>897.28297754262189</v>
      </c>
      <c r="R84" s="2">
        <f t="shared" si="163"/>
        <v>898.29002131267907</v>
      </c>
      <c r="S84" s="2">
        <f t="shared" si="277"/>
        <v>899.07723960348824</v>
      </c>
      <c r="T84" s="2">
        <f t="shared" si="278"/>
        <v>899.75747489191895</v>
      </c>
      <c r="U84" s="2">
        <f t="shared" si="279"/>
        <v>900.59740357333874</v>
      </c>
      <c r="V84" s="2">
        <f t="shared" si="280"/>
        <v>901.84557214149015</v>
      </c>
      <c r="W84" s="2">
        <f t="shared" si="281"/>
        <v>903.74502667203421</v>
      </c>
      <c r="X84" s="2">
        <f t="shared" si="259"/>
        <v>906.54629796926952</v>
      </c>
      <c r="Y84" s="2">
        <f t="shared" si="282"/>
        <v>911.86508364692395</v>
      </c>
      <c r="Z84" s="2">
        <f t="shared" si="229"/>
        <v>923</v>
      </c>
      <c r="AC84" s="11"/>
      <c r="AD84">
        <f t="shared" si="283"/>
        <v>-2727547568.9428244</v>
      </c>
      <c r="AE84">
        <f t="shared" si="284"/>
        <v>-2868170332.0193977</v>
      </c>
      <c r="AF84">
        <f t="shared" si="285"/>
        <v>-3015521662.5435119</v>
      </c>
      <c r="AG84">
        <f t="shared" si="286"/>
        <v>-3108039966.64433</v>
      </c>
      <c r="AH84">
        <f t="shared" si="287"/>
        <v>-3159867820.3530393</v>
      </c>
      <c r="AI84">
        <f t="shared" si="182"/>
        <v>-3181239599.4422688</v>
      </c>
      <c r="AJ84">
        <f t="shared" si="183"/>
        <v>-3199893945.1337757</v>
      </c>
      <c r="AK84">
        <f t="shared" si="130"/>
        <v>-3216792230.0998764</v>
      </c>
      <c r="AL84">
        <f t="shared" si="131"/>
        <v>-3224883818.2346358</v>
      </c>
      <c r="AM84">
        <f t="shared" si="132"/>
        <v>-3230195726.3027105</v>
      </c>
      <c r="AN84">
        <f t="shared" si="133"/>
        <v>-3233136037.1655746</v>
      </c>
      <c r="AO84">
        <f t="shared" si="134"/>
        <v>-3234036289.1794133</v>
      </c>
      <c r="AP84">
        <f t="shared" si="135"/>
        <v>-3233176568.5153069</v>
      </c>
      <c r="AQ84">
        <f t="shared" si="136"/>
        <v>-3230810353.8067269</v>
      </c>
      <c r="AR84">
        <f t="shared" si="288"/>
        <v>-3220983923.8347077</v>
      </c>
      <c r="AS84">
        <f t="shared" si="289"/>
        <v>-3212564449.2314844</v>
      </c>
      <c r="AT84">
        <f t="shared" si="290"/>
        <v>-3205862758.5735998</v>
      </c>
      <c r="AU84">
        <f t="shared" si="291"/>
        <v>-3201153584.4314637</v>
      </c>
      <c r="AV84">
        <f t="shared" si="292"/>
        <v>-3136882455.61446</v>
      </c>
      <c r="AW84">
        <f t="shared" si="293"/>
        <v>-3004229909.0557704</v>
      </c>
      <c r="AX84">
        <f t="shared" si="294"/>
        <v>-2874261096.2848406</v>
      </c>
      <c r="AZ84" s="11"/>
      <c r="BA84">
        <v>0</v>
      </c>
      <c r="BB84">
        <f t="shared" si="266"/>
        <v>0.48123195380173245</v>
      </c>
      <c r="BC84">
        <f t="shared" si="266"/>
        <v>0.62626503729260619</v>
      </c>
      <c r="BD84">
        <f t="shared" si="266"/>
        <v>0.68883096824716772</v>
      </c>
      <c r="BE84">
        <f t="shared" ref="BE84:BU84" si="300">$C$15/($C$16-$C$17*BD84)</f>
        <v>0.71985480322593665</v>
      </c>
      <c r="BF84">
        <f t="shared" si="300"/>
        <v>0.73629830034023724</v>
      </c>
      <c r="BG84">
        <f t="shared" si="300"/>
        <v>0.74532215339190988</v>
      </c>
      <c r="BH84">
        <f t="shared" si="300"/>
        <v>0.75036889263611883</v>
      </c>
      <c r="BI84">
        <f t="shared" si="300"/>
        <v>0.75322127845104569</v>
      </c>
      <c r="BJ84">
        <f t="shared" si="300"/>
        <v>0.75484304188610662</v>
      </c>
      <c r="BK84">
        <f t="shared" si="300"/>
        <v>0.7557682358602863</v>
      </c>
      <c r="BL84">
        <f t="shared" si="300"/>
        <v>0.75629706313297662</v>
      </c>
      <c r="BM84">
        <f t="shared" si="300"/>
        <v>0.75659966555753366</v>
      </c>
      <c r="BN84">
        <f t="shared" si="300"/>
        <v>0.75677292788178863</v>
      </c>
      <c r="BO84">
        <f t="shared" si="300"/>
        <v>0.75687216913954447</v>
      </c>
      <c r="BP84">
        <f t="shared" si="300"/>
        <v>0.75692902430849274</v>
      </c>
      <c r="BQ84">
        <f t="shared" si="300"/>
        <v>0.75696160039891547</v>
      </c>
      <c r="BR84">
        <f t="shared" si="300"/>
        <v>0.7569802666614166</v>
      </c>
      <c r="BS84">
        <f t="shared" si="300"/>
        <v>0.75699096293794377</v>
      </c>
      <c r="BT84">
        <f t="shared" si="300"/>
        <v>0.75699709233179424</v>
      </c>
      <c r="BU84">
        <f t="shared" si="300"/>
        <v>0.75700060476412556</v>
      </c>
    </row>
    <row r="85" spans="1:73" x14ac:dyDescent="0.3">
      <c r="A85" s="4"/>
      <c r="C85" s="11"/>
      <c r="D85">
        <v>4</v>
      </c>
      <c r="E85">
        <f t="shared" si="102"/>
        <v>6.0000000000000001E-3</v>
      </c>
      <c r="F85" s="2">
        <f t="shared" si="297"/>
        <v>873</v>
      </c>
      <c r="G85" s="2">
        <f t="shared" si="270"/>
        <v>870.68171153097842</v>
      </c>
      <c r="H85" s="2">
        <f t="shared" si="271"/>
        <v>872.15700695833698</v>
      </c>
      <c r="I85" s="2">
        <f t="shared" si="272"/>
        <v>875.29294909648081</v>
      </c>
      <c r="J85" s="2">
        <f t="shared" si="273"/>
        <v>878.91207656497591</v>
      </c>
      <c r="K85" s="2">
        <f t="shared" si="274"/>
        <v>882.45667249002997</v>
      </c>
      <c r="L85" s="2">
        <f t="shared" si="275"/>
        <v>885.79016912112047</v>
      </c>
      <c r="M85" s="2">
        <f t="shared" si="276"/>
        <v>888.80777588287924</v>
      </c>
      <c r="N85" s="2">
        <f t="shared" si="159"/>
        <v>891.41839499292905</v>
      </c>
      <c r="O85" s="2">
        <f t="shared" si="160"/>
        <v>893.63619074051894</v>
      </c>
      <c r="P85" s="2">
        <f t="shared" si="161"/>
        <v>895.49873418240998</v>
      </c>
      <c r="Q85" s="2">
        <f t="shared" si="162"/>
        <v>897.06245584615351</v>
      </c>
      <c r="R85" s="2">
        <f t="shared" si="163"/>
        <v>898.40034886012393</v>
      </c>
      <c r="S85" s="2">
        <f t="shared" si="277"/>
        <v>899.60141474210786</v>
      </c>
      <c r="T85" s="2">
        <f t="shared" si="278"/>
        <v>900.77143402122738</v>
      </c>
      <c r="U85" s="2">
        <f t="shared" si="279"/>
        <v>902.11838701269414</v>
      </c>
      <c r="V85" s="2">
        <f t="shared" si="280"/>
        <v>903.84019198829162</v>
      </c>
      <c r="W85" s="2">
        <f t="shared" si="281"/>
        <v>906.1278427811219</v>
      </c>
      <c r="X85" s="2">
        <f t="shared" si="259"/>
        <v>909.16922493818572</v>
      </c>
      <c r="Y85" s="2">
        <f t="shared" si="282"/>
        <v>914.04493631141736</v>
      </c>
      <c r="Z85" s="2">
        <f t="shared" si="229"/>
        <v>923</v>
      </c>
      <c r="AC85" s="11"/>
      <c r="AD85">
        <f t="shared" si="283"/>
        <v>-2851843178.3737354</v>
      </c>
      <c r="AE85">
        <f t="shared" si="284"/>
        <v>-2949501121.7396626</v>
      </c>
      <c r="AF85">
        <f t="shared" si="285"/>
        <v>-3052909592.2703943</v>
      </c>
      <c r="AG85">
        <f t="shared" si="286"/>
        <v>-3118324576.162015</v>
      </c>
      <c r="AH85">
        <f t="shared" si="287"/>
        <v>-3156964981.7134171</v>
      </c>
      <c r="AI85">
        <f t="shared" si="182"/>
        <v>-3175965108.4165549</v>
      </c>
      <c r="AJ85">
        <f t="shared" si="183"/>
        <v>-3192746060.7958469</v>
      </c>
      <c r="AK85">
        <f t="shared" si="130"/>
        <v>-3207763731.846385</v>
      </c>
      <c r="AL85">
        <f t="shared" si="131"/>
        <v>-3216479075.9077797</v>
      </c>
      <c r="AM85">
        <f t="shared" si="132"/>
        <v>-3222708258.4391308</v>
      </c>
      <c r="AN85">
        <f t="shared" si="133"/>
        <v>-3226795260.0412693</v>
      </c>
      <c r="AO85">
        <f t="shared" si="134"/>
        <v>-3229048209.4655576</v>
      </c>
      <c r="AP85">
        <f t="shared" si="135"/>
        <v>-3229754499.7815084</v>
      </c>
      <c r="AQ85">
        <f t="shared" si="136"/>
        <v>-3229198019.8264508</v>
      </c>
      <c r="AR85">
        <f t="shared" si="288"/>
        <v>-3223828954.5001879</v>
      </c>
      <c r="AS85">
        <f t="shared" si="289"/>
        <v>-3219557581.331533</v>
      </c>
      <c r="AT85">
        <f t="shared" si="290"/>
        <v>-3216949701.2612767</v>
      </c>
      <c r="AU85">
        <f t="shared" si="291"/>
        <v>-3216515057.1439247</v>
      </c>
      <c r="AV85">
        <f t="shared" si="292"/>
        <v>-3177720035.1344905</v>
      </c>
      <c r="AW85">
        <f t="shared" si="293"/>
        <v>-3091943024.979218</v>
      </c>
      <c r="AX85">
        <f t="shared" si="294"/>
        <v>-3009270000.6947007</v>
      </c>
      <c r="AZ85" s="11"/>
      <c r="BA85">
        <v>0</v>
      </c>
      <c r="BB85">
        <f t="shared" si="266"/>
        <v>0.48123195380173245</v>
      </c>
      <c r="BC85">
        <f t="shared" si="266"/>
        <v>0.62626503729260619</v>
      </c>
      <c r="BD85">
        <f t="shared" si="266"/>
        <v>0.68883096824716772</v>
      </c>
      <c r="BE85">
        <f t="shared" ref="BE85:BU85" si="301">$C$15/($C$16-$C$17*BD85)</f>
        <v>0.71985480322593665</v>
      </c>
      <c r="BF85">
        <f t="shared" si="301"/>
        <v>0.73629830034023724</v>
      </c>
      <c r="BG85">
        <f t="shared" si="301"/>
        <v>0.74532215339190988</v>
      </c>
      <c r="BH85">
        <f t="shared" si="301"/>
        <v>0.75036889263611883</v>
      </c>
      <c r="BI85">
        <f t="shared" si="301"/>
        <v>0.75322127845104569</v>
      </c>
      <c r="BJ85">
        <f t="shared" si="301"/>
        <v>0.75484304188610662</v>
      </c>
      <c r="BK85">
        <f t="shared" si="301"/>
        <v>0.7557682358602863</v>
      </c>
      <c r="BL85">
        <f t="shared" si="301"/>
        <v>0.75629706313297662</v>
      </c>
      <c r="BM85">
        <f t="shared" si="301"/>
        <v>0.75659966555753366</v>
      </c>
      <c r="BN85">
        <f t="shared" si="301"/>
        <v>0.75677292788178863</v>
      </c>
      <c r="BO85">
        <f t="shared" si="301"/>
        <v>0.75687216913954447</v>
      </c>
      <c r="BP85">
        <f t="shared" si="301"/>
        <v>0.75692902430849274</v>
      </c>
      <c r="BQ85">
        <f t="shared" si="301"/>
        <v>0.75696160039891547</v>
      </c>
      <c r="BR85">
        <f t="shared" si="301"/>
        <v>0.7569802666614166</v>
      </c>
      <c r="BS85">
        <f t="shared" si="301"/>
        <v>0.75699096293794377</v>
      </c>
      <c r="BT85">
        <f t="shared" si="301"/>
        <v>0.75699709233179424</v>
      </c>
      <c r="BU85">
        <f t="shared" si="301"/>
        <v>0.75700060476412556</v>
      </c>
    </row>
    <row r="86" spans="1:73" x14ac:dyDescent="0.3">
      <c r="A86" s="4"/>
      <c r="C86" s="11"/>
      <c r="D86">
        <v>3</v>
      </c>
      <c r="E86">
        <f t="shared" si="102"/>
        <v>4.0000000000000001E-3</v>
      </c>
      <c r="F86" s="2">
        <f t="shared" si="297"/>
        <v>873</v>
      </c>
      <c r="G86" s="2">
        <f t="shared" si="270"/>
        <v>871.97736972325811</v>
      </c>
      <c r="H86" s="2">
        <f t="shared" si="271"/>
        <v>873.56269067740584</v>
      </c>
      <c r="I86" s="2">
        <f t="shared" si="272"/>
        <v>876.33041591363258</v>
      </c>
      <c r="J86" s="2">
        <f t="shared" si="273"/>
        <v>879.4866700690859</v>
      </c>
      <c r="K86" s="2">
        <f t="shared" si="274"/>
        <v>882.63949211158149</v>
      </c>
      <c r="L86" s="2">
        <f t="shared" si="275"/>
        <v>885.66890224449207</v>
      </c>
      <c r="M86" s="2">
        <f t="shared" si="276"/>
        <v>888.48300250386751</v>
      </c>
      <c r="N86" s="2">
        <f t="shared" si="159"/>
        <v>891.00761403346212</v>
      </c>
      <c r="O86" s="2">
        <f t="shared" si="160"/>
        <v>893.2443528093961</v>
      </c>
      <c r="P86" s="2">
        <f t="shared" si="161"/>
        <v>895.21863213856545</v>
      </c>
      <c r="Q86" s="2">
        <f t="shared" si="162"/>
        <v>896.97561720504848</v>
      </c>
      <c r="R86" s="2">
        <f t="shared" si="163"/>
        <v>898.57778912009826</v>
      </c>
      <c r="S86" s="2">
        <f t="shared" si="277"/>
        <v>900.1037650368113</v>
      </c>
      <c r="T86" s="2">
        <f t="shared" si="278"/>
        <v>901.64804648920256</v>
      </c>
      <c r="U86" s="2">
        <f t="shared" si="279"/>
        <v>903.37302436849086</v>
      </c>
      <c r="V86" s="2">
        <f t="shared" si="280"/>
        <v>905.43530770331199</v>
      </c>
      <c r="W86" s="2">
        <f t="shared" si="281"/>
        <v>907.98381498748222</v>
      </c>
      <c r="X86" s="2">
        <f t="shared" si="259"/>
        <v>911.15851708955756</v>
      </c>
      <c r="Y86" s="2">
        <f t="shared" si="282"/>
        <v>915.67054463969282</v>
      </c>
      <c r="Z86" s="2">
        <f t="shared" si="229"/>
        <v>923</v>
      </c>
      <c r="AC86" s="11"/>
      <c r="AD86">
        <f t="shared" si="283"/>
        <v>-2943499977.0845432</v>
      </c>
      <c r="AE86">
        <f t="shared" si="284"/>
        <v>-3008689045.9461274</v>
      </c>
      <c r="AF86">
        <f t="shared" si="285"/>
        <v>-3079952337.1748986</v>
      </c>
      <c r="AG86">
        <f t="shared" si="286"/>
        <v>-3126401202.0136919</v>
      </c>
      <c r="AH86">
        <f t="shared" si="287"/>
        <v>-3155756049.4039302</v>
      </c>
      <c r="AI86">
        <f t="shared" si="182"/>
        <v>-3172587445.5372715</v>
      </c>
      <c r="AJ86">
        <f t="shared" si="183"/>
        <v>-3187684275.4358625</v>
      </c>
      <c r="AK86">
        <f t="shared" si="130"/>
        <v>-3201193494.5537906</v>
      </c>
      <c r="AL86">
        <f t="shared" si="131"/>
        <v>-3210177465.820447</v>
      </c>
      <c r="AM86">
        <f t="shared" si="132"/>
        <v>-3217033872.4312825</v>
      </c>
      <c r="AN86">
        <f t="shared" si="133"/>
        <v>-3222039988.1967468</v>
      </c>
      <c r="AO86">
        <f t="shared" si="134"/>
        <v>-3225469919.4976349</v>
      </c>
      <c r="AP86">
        <f t="shared" si="135"/>
        <v>-3227602123.286406</v>
      </c>
      <c r="AQ86">
        <f t="shared" si="136"/>
        <v>-3228730254.3108902</v>
      </c>
      <c r="AR86">
        <f t="shared" si="288"/>
        <v>-3226801155.1659918</v>
      </c>
      <c r="AS86">
        <f t="shared" si="289"/>
        <v>-3225786360.4796324</v>
      </c>
      <c r="AT86">
        <f t="shared" si="290"/>
        <v>-3226335582.3694196</v>
      </c>
      <c r="AU86">
        <f t="shared" si="291"/>
        <v>-3229040966.5514555</v>
      </c>
      <c r="AV86">
        <f t="shared" si="292"/>
        <v>-3207719788.7065768</v>
      </c>
      <c r="AW86">
        <f t="shared" si="293"/>
        <v>-3155824234.8993087</v>
      </c>
      <c r="AX86">
        <f t="shared" si="294"/>
        <v>-3108431116.5144806</v>
      </c>
      <c r="AZ86" s="11"/>
      <c r="BA86">
        <v>0</v>
      </c>
      <c r="BB86">
        <f t="shared" si="266"/>
        <v>0.48123195380173245</v>
      </c>
      <c r="BC86">
        <f t="shared" si="266"/>
        <v>0.62626503729260619</v>
      </c>
      <c r="BD86">
        <f t="shared" si="266"/>
        <v>0.68883096824716772</v>
      </c>
      <c r="BE86">
        <f t="shared" ref="BE86:BU86" si="302">$C$15/($C$16-$C$17*BD86)</f>
        <v>0.71985480322593665</v>
      </c>
      <c r="BF86">
        <f t="shared" si="302"/>
        <v>0.73629830034023724</v>
      </c>
      <c r="BG86">
        <f t="shared" si="302"/>
        <v>0.74532215339190988</v>
      </c>
      <c r="BH86">
        <f t="shared" si="302"/>
        <v>0.75036889263611883</v>
      </c>
      <c r="BI86">
        <f t="shared" si="302"/>
        <v>0.75322127845104569</v>
      </c>
      <c r="BJ86">
        <f t="shared" si="302"/>
        <v>0.75484304188610662</v>
      </c>
      <c r="BK86">
        <f t="shared" si="302"/>
        <v>0.7557682358602863</v>
      </c>
      <c r="BL86">
        <f t="shared" si="302"/>
        <v>0.75629706313297662</v>
      </c>
      <c r="BM86">
        <f t="shared" si="302"/>
        <v>0.75659966555753366</v>
      </c>
      <c r="BN86">
        <f t="shared" si="302"/>
        <v>0.75677292788178863</v>
      </c>
      <c r="BO86">
        <f t="shared" si="302"/>
        <v>0.75687216913954447</v>
      </c>
      <c r="BP86">
        <f t="shared" si="302"/>
        <v>0.75692902430849274</v>
      </c>
      <c r="BQ86">
        <f t="shared" si="302"/>
        <v>0.75696160039891547</v>
      </c>
      <c r="BR86">
        <f t="shared" si="302"/>
        <v>0.7569802666614166</v>
      </c>
      <c r="BS86">
        <f t="shared" si="302"/>
        <v>0.75699096293794377</v>
      </c>
      <c r="BT86">
        <f t="shared" si="302"/>
        <v>0.75699709233179424</v>
      </c>
      <c r="BU86">
        <f t="shared" si="302"/>
        <v>0.75700060476412556</v>
      </c>
    </row>
    <row r="87" spans="1:73" x14ac:dyDescent="0.3">
      <c r="A87" s="4"/>
      <c r="C87" s="11"/>
      <c r="D87">
        <v>2</v>
      </c>
      <c r="E87">
        <f>E88+$E$3</f>
        <v>2E-3</v>
      </c>
      <c r="F87" s="2">
        <f t="shared" si="297"/>
        <v>873</v>
      </c>
      <c r="G87" s="2">
        <f t="shared" si="270"/>
        <v>872.91142349985967</v>
      </c>
      <c r="H87" s="2">
        <f t="shared" si="271"/>
        <v>874.59485903374298</v>
      </c>
      <c r="I87" s="2">
        <f t="shared" si="272"/>
        <v>877.11914179121686</v>
      </c>
      <c r="J87" s="2">
        <f t="shared" si="273"/>
        <v>879.95432303627831</v>
      </c>
      <c r="K87" s="2">
        <f t="shared" si="274"/>
        <v>882.82533110166571</v>
      </c>
      <c r="L87" s="2">
        <f t="shared" si="275"/>
        <v>885.63136430434849</v>
      </c>
      <c r="M87" s="2">
        <f t="shared" si="276"/>
        <v>888.29489861999502</v>
      </c>
      <c r="N87" s="2">
        <f t="shared" si="159"/>
        <v>890.75633574882738</v>
      </c>
      <c r="O87" s="2">
        <f t="shared" si="160"/>
        <v>893.01102140909336</v>
      </c>
      <c r="P87" s="2">
        <f t="shared" si="161"/>
        <v>895.07642492174989</v>
      </c>
      <c r="Q87" s="2">
        <f t="shared" si="162"/>
        <v>896.98879379429309</v>
      </c>
      <c r="R87" s="2">
        <f t="shared" si="163"/>
        <v>898.80083045328672</v>
      </c>
      <c r="S87" s="2">
        <f t="shared" si="277"/>
        <v>900.58016323196978</v>
      </c>
      <c r="T87" s="2">
        <f t="shared" si="278"/>
        <v>902.40836641280043</v>
      </c>
      <c r="U87" s="2">
        <f t="shared" si="279"/>
        <v>904.41199454584307</v>
      </c>
      <c r="V87" s="2">
        <f t="shared" si="280"/>
        <v>906.71384515451768</v>
      </c>
      <c r="W87" s="2">
        <f t="shared" si="281"/>
        <v>909.42862448237156</v>
      </c>
      <c r="X87" s="2">
        <f t="shared" si="259"/>
        <v>912.65913295408484</v>
      </c>
      <c r="Y87" s="2">
        <f t="shared" si="282"/>
        <v>916.86620617729318</v>
      </c>
      <c r="Z87" s="2">
        <f t="shared" si="229"/>
        <v>923</v>
      </c>
      <c r="AC87" s="11"/>
      <c r="AD87">
        <f t="shared" si="283"/>
        <v>-3007852522.607914</v>
      </c>
      <c r="AE87">
        <f t="shared" si="284"/>
        <v>-3050493633.9524102</v>
      </c>
      <c r="AF87">
        <f t="shared" si="285"/>
        <v>-3099367381.9279065</v>
      </c>
      <c r="AG87">
        <f t="shared" si="286"/>
        <v>-3132802150.3178558</v>
      </c>
      <c r="AH87">
        <f t="shared" si="287"/>
        <v>-3155628077.319171</v>
      </c>
      <c r="AI87">
        <f t="shared" si="182"/>
        <v>-3170566131.6771917</v>
      </c>
      <c r="AJ87">
        <f t="shared" si="183"/>
        <v>-3184200283.9276733</v>
      </c>
      <c r="AK87">
        <f t="shared" si="130"/>
        <v>-3196498566.8419933</v>
      </c>
      <c r="AL87">
        <f t="shared" si="131"/>
        <v>-3205544300.2208452</v>
      </c>
      <c r="AM87">
        <f t="shared" si="132"/>
        <v>-3212830523.6058564</v>
      </c>
      <c r="AN87">
        <f t="shared" si="133"/>
        <v>-3218573806.0644512</v>
      </c>
      <c r="AO87">
        <f t="shared" si="134"/>
        <v>-3223011073.9572062</v>
      </c>
      <c r="AP87">
        <f t="shared" si="135"/>
        <v>-3226401758.1606746</v>
      </c>
      <c r="AQ87">
        <f t="shared" si="136"/>
        <v>-3229033587.1775208</v>
      </c>
      <c r="AR87">
        <f t="shared" si="288"/>
        <v>-3229771670.8873773</v>
      </c>
      <c r="AS87">
        <f t="shared" si="289"/>
        <v>-3231312002.5514126</v>
      </c>
      <c r="AT87">
        <f t="shared" si="290"/>
        <v>-3234294555.3321571</v>
      </c>
      <c r="AU87">
        <f t="shared" si="291"/>
        <v>-3239306364.0252156</v>
      </c>
      <c r="AV87">
        <f t="shared" si="292"/>
        <v>-3229698990.4704952</v>
      </c>
      <c r="AW87">
        <f t="shared" si="293"/>
        <v>-3201086800.1871881</v>
      </c>
      <c r="AX87">
        <f t="shared" si="294"/>
        <v>-3177874368.3071618</v>
      </c>
      <c r="AZ87" s="11"/>
      <c r="BA87">
        <v>0</v>
      </c>
      <c r="BB87">
        <f t="shared" si="266"/>
        <v>0.48123195380173245</v>
      </c>
      <c r="BC87">
        <f t="shared" si="266"/>
        <v>0.62626503729260619</v>
      </c>
      <c r="BD87">
        <f t="shared" si="266"/>
        <v>0.68883096824716772</v>
      </c>
      <c r="BE87">
        <f t="shared" ref="BE87:BU87" si="303">$C$15/($C$16-$C$17*BD87)</f>
        <v>0.71985480322593665</v>
      </c>
      <c r="BF87">
        <f t="shared" si="303"/>
        <v>0.73629830034023724</v>
      </c>
      <c r="BG87">
        <f t="shared" si="303"/>
        <v>0.74532215339190988</v>
      </c>
      <c r="BH87">
        <f t="shared" si="303"/>
        <v>0.75036889263611883</v>
      </c>
      <c r="BI87">
        <f t="shared" si="303"/>
        <v>0.75322127845104569</v>
      </c>
      <c r="BJ87">
        <f t="shared" si="303"/>
        <v>0.75484304188610662</v>
      </c>
      <c r="BK87">
        <f t="shared" si="303"/>
        <v>0.7557682358602863</v>
      </c>
      <c r="BL87">
        <f t="shared" si="303"/>
        <v>0.75629706313297662</v>
      </c>
      <c r="BM87">
        <f t="shared" si="303"/>
        <v>0.75659966555753366</v>
      </c>
      <c r="BN87">
        <f t="shared" si="303"/>
        <v>0.75677292788178863</v>
      </c>
      <c r="BO87">
        <f t="shared" si="303"/>
        <v>0.75687216913954447</v>
      </c>
      <c r="BP87">
        <f t="shared" si="303"/>
        <v>0.75692902430849274</v>
      </c>
      <c r="BQ87">
        <f t="shared" si="303"/>
        <v>0.75696160039891547</v>
      </c>
      <c r="BR87">
        <f t="shared" si="303"/>
        <v>0.7569802666614166</v>
      </c>
      <c r="BS87">
        <f t="shared" si="303"/>
        <v>0.75699096293794377</v>
      </c>
      <c r="BT87">
        <f t="shared" si="303"/>
        <v>0.75699709233179424</v>
      </c>
      <c r="BU87">
        <f t="shared" si="303"/>
        <v>0.75700060476412556</v>
      </c>
    </row>
    <row r="88" spans="1:73" x14ac:dyDescent="0.3">
      <c r="A88" s="4"/>
      <c r="C88" s="11"/>
      <c r="D88">
        <v>1</v>
      </c>
      <c r="E88">
        <v>0</v>
      </c>
      <c r="F88" s="2">
        <f t="shared" si="297"/>
        <v>873</v>
      </c>
      <c r="G88" s="2">
        <f t="shared" si="270"/>
        <v>873.57734958979813</v>
      </c>
      <c r="H88" s="2">
        <f t="shared" si="271"/>
        <v>875.34926131328621</v>
      </c>
      <c r="I88" s="2">
        <f t="shared" si="272"/>
        <v>877.7191046921339</v>
      </c>
      <c r="J88" s="2">
        <f t="shared" si="273"/>
        <v>880.33617949279812</v>
      </c>
      <c r="K88" s="2">
        <f t="shared" si="274"/>
        <v>883.00799677003829</v>
      </c>
      <c r="L88" s="2">
        <f t="shared" si="275"/>
        <v>885.65278578318737</v>
      </c>
      <c r="M88" s="2">
        <f t="shared" si="276"/>
        <v>888.2071908713998</v>
      </c>
      <c r="N88" s="2">
        <f t="shared" si="159"/>
        <v>890.62407865719001</v>
      </c>
      <c r="O88" s="2">
        <f t="shared" si="160"/>
        <v>892.89633550636802</v>
      </c>
      <c r="P88" s="2">
        <f t="shared" si="161"/>
        <v>895.03631456015785</v>
      </c>
      <c r="Q88" s="2">
        <f t="shared" si="162"/>
        <v>897.07320216729534</v>
      </c>
      <c r="R88" s="2">
        <f t="shared" si="163"/>
        <v>899.0509286078202</v>
      </c>
      <c r="S88" s="2">
        <f t="shared" si="277"/>
        <v>901.02648988938779</v>
      </c>
      <c r="T88" s="2">
        <f t="shared" si="278"/>
        <v>903.06850640004473</v>
      </c>
      <c r="U88" s="2">
        <f t="shared" si="279"/>
        <v>905.27522635660432</v>
      </c>
      <c r="V88" s="2">
        <f t="shared" si="280"/>
        <v>907.74193858750652</v>
      </c>
      <c r="W88" s="2">
        <f t="shared" si="281"/>
        <v>910.55572749025168</v>
      </c>
      <c r="X88" s="2">
        <f t="shared" si="259"/>
        <v>913.79061366951009</v>
      </c>
      <c r="Y88" s="2">
        <f t="shared" ref="Y88" si="304">BT88*Z88+BT50</f>
        <v>917.74038494702256</v>
      </c>
      <c r="Z88" s="2">
        <f t="shared" si="229"/>
        <v>923</v>
      </c>
      <c r="AC88" s="11"/>
      <c r="AD88">
        <f t="shared" ref="AD88" si="305">(-($C$8*$C$7)/$C$4)*F49</f>
        <v>-3051578404.1742344</v>
      </c>
      <c r="AE88">
        <f t="shared" si="284"/>
        <v>-3079445672.1784568</v>
      </c>
      <c r="AF88">
        <f t="shared" si="285"/>
        <v>-3113248293.4455385</v>
      </c>
      <c r="AG88">
        <f t="shared" si="286"/>
        <v>-3137883502.2318058</v>
      </c>
      <c r="AH88">
        <f t="shared" si="287"/>
        <v>-3156128058.0976729</v>
      </c>
      <c r="AI88">
        <f t="shared" si="182"/>
        <v>-3169475992.5590892</v>
      </c>
      <c r="AJ88">
        <f t="shared" si="183"/>
        <v>-3181879855.9371686</v>
      </c>
      <c r="AK88">
        <f t="shared" si="130"/>
        <v>-3193213196.758007</v>
      </c>
      <c r="AL88">
        <f t="shared" si="131"/>
        <v>-3202212217.3061547</v>
      </c>
      <c r="AM88">
        <f t="shared" si="132"/>
        <v>-3209796830.3846998</v>
      </c>
      <c r="AN88">
        <f t="shared" si="133"/>
        <v>-3216132503.1878576</v>
      </c>
      <c r="AO88">
        <f t="shared" si="134"/>
        <v>-3221420063.0404267</v>
      </c>
      <c r="AP88">
        <f t="shared" si="135"/>
        <v>-3225894329.1568937</v>
      </c>
      <c r="AQ88">
        <f t="shared" si="136"/>
        <v>-3229826105.1850204</v>
      </c>
      <c r="AR88">
        <f t="shared" si="288"/>
        <v>-3232633442.4518347</v>
      </c>
      <c r="AS88">
        <f t="shared" si="289"/>
        <v>-3236167867.5477328</v>
      </c>
      <c r="AT88">
        <f t="shared" si="290"/>
        <v>-3241012548.747191</v>
      </c>
      <c r="AU88">
        <f t="shared" si="291"/>
        <v>-3247703475.5154171</v>
      </c>
      <c r="AV88">
        <f t="shared" si="292"/>
        <v>-3245796007.3265166</v>
      </c>
      <c r="AW88">
        <f t="shared" si="293"/>
        <v>-3232599687.5185242</v>
      </c>
      <c r="AX88">
        <f t="shared" si="294"/>
        <v>-3224975075.9328299</v>
      </c>
      <c r="AZ88" s="11"/>
      <c r="BA88">
        <v>0</v>
      </c>
      <c r="BB88">
        <f t="shared" si="266"/>
        <v>0.48123195380173245</v>
      </c>
      <c r="BC88">
        <f t="shared" si="266"/>
        <v>0.62626503729260619</v>
      </c>
      <c r="BD88">
        <f t="shared" si="266"/>
        <v>0.68883096824716772</v>
      </c>
      <c r="BE88">
        <f t="shared" ref="BE88:BU88" si="306">$C$15/($C$16-$C$17*BD88)</f>
        <v>0.71985480322593665</v>
      </c>
      <c r="BF88">
        <f t="shared" si="306"/>
        <v>0.73629830034023724</v>
      </c>
      <c r="BG88">
        <f t="shared" si="306"/>
        <v>0.74532215339190988</v>
      </c>
      <c r="BH88">
        <f t="shared" si="306"/>
        <v>0.75036889263611883</v>
      </c>
      <c r="BI88">
        <f t="shared" si="306"/>
        <v>0.75322127845104569</v>
      </c>
      <c r="BJ88">
        <f t="shared" si="306"/>
        <v>0.75484304188610662</v>
      </c>
      <c r="BK88">
        <f t="shared" si="306"/>
        <v>0.7557682358602863</v>
      </c>
      <c r="BL88">
        <f t="shared" si="306"/>
        <v>0.75629706313297662</v>
      </c>
      <c r="BM88">
        <f t="shared" si="306"/>
        <v>0.75659966555753366</v>
      </c>
      <c r="BN88">
        <f t="shared" si="306"/>
        <v>0.75677292788178863</v>
      </c>
      <c r="BO88">
        <f t="shared" si="306"/>
        <v>0.75687216913954447</v>
      </c>
      <c r="BP88">
        <f t="shared" si="306"/>
        <v>0.75692902430849274</v>
      </c>
      <c r="BQ88">
        <f t="shared" si="306"/>
        <v>0.75696160039891547</v>
      </c>
      <c r="BR88">
        <f t="shared" si="306"/>
        <v>0.7569802666614166</v>
      </c>
      <c r="BS88">
        <f t="shared" si="306"/>
        <v>0.75699096293794377</v>
      </c>
      <c r="BT88">
        <f t="shared" si="306"/>
        <v>0.75699709233179424</v>
      </c>
      <c r="BU88">
        <f t="shared" si="306"/>
        <v>0.75700060476412556</v>
      </c>
    </row>
    <row r="89" spans="1:73" x14ac:dyDescent="0.3">
      <c r="A89" s="4"/>
    </row>
    <row r="90" spans="1:73" x14ac:dyDescent="0.3">
      <c r="A90" s="4"/>
    </row>
    <row r="91" spans="1:73" ht="14.4" customHeight="1" x14ac:dyDescent="0.3">
      <c r="A91" s="4"/>
      <c r="C91" s="13" t="s">
        <v>28</v>
      </c>
      <c r="E91" s="2"/>
      <c r="F91" s="2">
        <v>1</v>
      </c>
      <c r="G91" s="2">
        <v>2</v>
      </c>
      <c r="H91" s="2">
        <v>3</v>
      </c>
      <c r="I91" s="2">
        <v>4</v>
      </c>
      <c r="J91" s="2">
        <v>5</v>
      </c>
      <c r="K91" s="2">
        <v>6</v>
      </c>
      <c r="L91" s="2">
        <v>7</v>
      </c>
      <c r="M91" s="2">
        <v>8</v>
      </c>
      <c r="N91" s="2">
        <v>9</v>
      </c>
      <c r="O91" s="2">
        <v>10</v>
      </c>
      <c r="P91" s="2">
        <v>11</v>
      </c>
      <c r="Q91" s="2">
        <v>12</v>
      </c>
      <c r="R91" s="2">
        <v>13</v>
      </c>
      <c r="S91" s="2">
        <v>14</v>
      </c>
      <c r="T91" s="2">
        <v>15</v>
      </c>
      <c r="U91" s="2">
        <v>16</v>
      </c>
      <c r="V91" s="2">
        <v>17</v>
      </c>
      <c r="W91" s="2">
        <v>18</v>
      </c>
      <c r="X91" s="2">
        <v>19</v>
      </c>
      <c r="Y91" s="2">
        <v>20</v>
      </c>
      <c r="Z91" s="2">
        <v>21</v>
      </c>
    </row>
    <row r="92" spans="1:73" ht="14.4" customHeight="1" x14ac:dyDescent="0.3">
      <c r="A92" s="4"/>
      <c r="C92" s="11"/>
      <c r="E92" s="2" t="s">
        <v>0</v>
      </c>
      <c r="F92" s="3">
        <v>0</v>
      </c>
      <c r="G92" s="3">
        <f t="shared" ref="G92" si="307">F92+$C$3</f>
        <v>1E-3</v>
      </c>
      <c r="H92" s="3">
        <f t="shared" ref="H92" si="308">G92+$C$3</f>
        <v>2E-3</v>
      </c>
      <c r="I92" s="3">
        <f t="shared" ref="I92" si="309">H92+$C$3</f>
        <v>3.0000000000000001E-3</v>
      </c>
      <c r="J92" s="3">
        <f t="shared" ref="J92" si="310">I92+$C$3</f>
        <v>4.0000000000000001E-3</v>
      </c>
      <c r="K92" s="3">
        <f t="shared" ref="K92" si="311">J92+$C$3</f>
        <v>5.0000000000000001E-3</v>
      </c>
      <c r="L92" s="3">
        <f t="shared" ref="L92" si="312">K92+$C$3</f>
        <v>6.0000000000000001E-3</v>
      </c>
      <c r="M92" s="3">
        <f t="shared" ref="M92" si="313">L92+$C$3</f>
        <v>7.0000000000000001E-3</v>
      </c>
      <c r="N92" s="3">
        <f t="shared" ref="N92" si="314">M92+$C$3</f>
        <v>8.0000000000000002E-3</v>
      </c>
      <c r="O92" s="3">
        <f t="shared" ref="O92" si="315">N92+$C$3</f>
        <v>9.0000000000000011E-3</v>
      </c>
      <c r="P92" s="3">
        <f t="shared" ref="P92" si="316">O92+$C$3</f>
        <v>1.0000000000000002E-2</v>
      </c>
      <c r="Q92" s="3">
        <f t="shared" ref="Q92" si="317">P92+$C$3</f>
        <v>1.1000000000000003E-2</v>
      </c>
      <c r="R92" s="3">
        <f t="shared" ref="R92" si="318">Q92+$C$3</f>
        <v>1.2000000000000004E-2</v>
      </c>
      <c r="S92" s="3">
        <f t="shared" ref="S92" si="319">R92+$C$3</f>
        <v>1.3000000000000005E-2</v>
      </c>
      <c r="T92" s="3">
        <f t="shared" ref="T92" si="320">S92+$C$3</f>
        <v>1.4000000000000005E-2</v>
      </c>
      <c r="U92" s="3">
        <f t="shared" ref="U92" si="321">T92+$C$3</f>
        <v>1.5000000000000006E-2</v>
      </c>
      <c r="V92" s="3">
        <f t="shared" ref="V92" si="322">U92+$C$3</f>
        <v>1.6000000000000007E-2</v>
      </c>
      <c r="W92" s="3">
        <f t="shared" ref="W92" si="323">V92+$C$3</f>
        <v>1.7000000000000008E-2</v>
      </c>
      <c r="X92" s="3">
        <f t="shared" ref="X92" si="324">W92+$C$3</f>
        <v>1.8000000000000009E-2</v>
      </c>
      <c r="Y92" s="3">
        <f t="shared" ref="Y92" si="325">X92+$C$3</f>
        <v>1.900000000000001E-2</v>
      </c>
      <c r="Z92" s="3">
        <f t="shared" ref="Z92" si="326">Y92+$C$3</f>
        <v>2.0000000000000011E-2</v>
      </c>
    </row>
    <row r="93" spans="1:73" x14ac:dyDescent="0.3">
      <c r="A93" s="4"/>
      <c r="C93" s="11"/>
      <c r="D93">
        <v>35</v>
      </c>
      <c r="E93">
        <f t="shared" ref="E93:E125" si="327">E94+$E$3</f>
        <v>6.8000000000000047E-2</v>
      </c>
      <c r="F93" s="2"/>
      <c r="G93" s="2"/>
      <c r="H93" s="2"/>
      <c r="I93" s="2">
        <f>$E$6</f>
        <v>1223</v>
      </c>
      <c r="J93" s="2">
        <f t="shared" ref="J93:W93" si="328">$E$6</f>
        <v>1223</v>
      </c>
      <c r="K93" s="2">
        <f t="shared" si="328"/>
        <v>1223</v>
      </c>
      <c r="L93" s="2">
        <f t="shared" si="328"/>
        <v>1223</v>
      </c>
      <c r="M93" s="2">
        <f t="shared" si="328"/>
        <v>1223</v>
      </c>
      <c r="N93" s="2">
        <f t="shared" si="328"/>
        <v>1223</v>
      </c>
      <c r="O93" s="2">
        <f t="shared" si="328"/>
        <v>1223</v>
      </c>
      <c r="P93" s="2">
        <f t="shared" si="328"/>
        <v>1223</v>
      </c>
      <c r="Q93" s="2">
        <f t="shared" si="328"/>
        <v>1223</v>
      </c>
      <c r="R93" s="2">
        <f t="shared" si="328"/>
        <v>1223</v>
      </c>
      <c r="S93" s="2">
        <f t="shared" si="328"/>
        <v>1223</v>
      </c>
      <c r="T93" s="2">
        <f t="shared" si="328"/>
        <v>1223</v>
      </c>
      <c r="U93" s="2">
        <f t="shared" si="328"/>
        <v>1223</v>
      </c>
      <c r="V93" s="2">
        <f t="shared" si="328"/>
        <v>1223</v>
      </c>
      <c r="W93" s="2">
        <f t="shared" si="328"/>
        <v>1223</v>
      </c>
      <c r="X93" s="2"/>
      <c r="Y93" s="2"/>
      <c r="Z93" s="2"/>
      <c r="AC93" s="10" t="s">
        <v>25</v>
      </c>
      <c r="AD93" s="2"/>
      <c r="AE93" s="2"/>
      <c r="AF93" s="2"/>
      <c r="AG93">
        <f>(-($C$8*$C$7)/$C$4)*I54</f>
        <v>-3132324000</v>
      </c>
      <c r="AH93">
        <f t="shared" ref="AH93:AH98" si="329">(-($C$8*$C$7)/$C$4)*J54</f>
        <v>-3425442943.5051441</v>
      </c>
      <c r="AI93">
        <f t="shared" ref="AI93:AI99" si="330">(-($C$8*$C$7)/$C$4)*K54</f>
        <v>-3643472764.6036892</v>
      </c>
      <c r="AJ93">
        <f t="shared" ref="AJ93:AJ100" si="331">(-($C$8*$C$7)/$C$4)*L54</f>
        <v>-3803419789.3413224</v>
      </c>
      <c r="AK93">
        <f t="shared" ref="AK93:AK127" si="332">(-($C$8*$C$7)/$C$4)*M54</f>
        <v>-3917759885.6475792</v>
      </c>
      <c r="AL93">
        <f t="shared" ref="AL93:AL127" si="333">(-($C$8*$C$7)/$C$4)*N54</f>
        <v>-3995411581.0343471</v>
      </c>
      <c r="AM93">
        <f t="shared" ref="AM93:AM127" si="334">(-($C$8*$C$7)/$C$4)*O54</f>
        <v>-4042431707.7417941</v>
      </c>
      <c r="AN93">
        <f t="shared" ref="AN93:AN127" si="335">(-($C$8*$C$7)/$C$4)*P54</f>
        <v>-4062487835.6531019</v>
      </c>
      <c r="AO93">
        <f t="shared" ref="AO93:AO127" si="336">(-($C$8*$C$7)/$C$4)*Q54</f>
        <v>-4057144342.7453518</v>
      </c>
      <c r="AP93">
        <f t="shared" ref="AP93:AP127" si="337">(-($C$8*$C$7)/$C$4)*R54</f>
        <v>-4025984436.5717387</v>
      </c>
      <c r="AQ93">
        <f t="shared" ref="AQ93:AQ127" si="338">(-($C$8*$C$7)/$C$4)*S54</f>
        <v>-3966577644.4507203</v>
      </c>
      <c r="AR93">
        <f t="shared" ref="AR93:AR100" si="339">(-($C$8*$C$7)/$C$4)*T54</f>
        <v>-3874290236.5968585</v>
      </c>
      <c r="AS93">
        <f t="shared" ref="AS93:AS99" si="340">(-($C$8*$C$7)/$C$4)*U54</f>
        <v>-3741923795.1975513</v>
      </c>
      <c r="AT93">
        <f t="shared" ref="AT93:AT98" si="341">(-($C$8*$C$7)/$C$4)*V54</f>
        <v>-3559153737.8236527</v>
      </c>
      <c r="AU93">
        <f t="shared" ref="AU93:AU97" si="342">(-($C$8*$C$7)/$C$4)*W54</f>
        <v>-3311724000</v>
      </c>
      <c r="AV93" s="2"/>
      <c r="AW93" s="2"/>
      <c r="AX93" s="2"/>
      <c r="AZ93" s="14" t="s">
        <v>24</v>
      </c>
      <c r="BA93" s="2"/>
      <c r="BB93" s="2"/>
      <c r="BC93" s="2"/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 s="2"/>
      <c r="BT93" s="2"/>
      <c r="BU93" s="2"/>
    </row>
    <row r="94" spans="1:73" x14ac:dyDescent="0.3">
      <c r="A94" s="4"/>
      <c r="C94" s="11"/>
      <c r="D94">
        <v>34</v>
      </c>
      <c r="E94">
        <f t="shared" si="327"/>
        <v>6.6000000000000045E-2</v>
      </c>
      <c r="F94" s="2"/>
      <c r="G94" s="2"/>
      <c r="H94" s="2"/>
      <c r="I94" s="2">
        <f>BD94*I93+BD132</f>
        <v>1175.7681660899652</v>
      </c>
      <c r="J94" s="2">
        <f t="shared" ref="J94:W94" si="343">BE94*J93+BE132</f>
        <v>1185.9993409940023</v>
      </c>
      <c r="K94" s="2">
        <f t="shared" si="343"/>
        <v>1193.7339316398491</v>
      </c>
      <c r="L94" s="2">
        <f t="shared" si="343"/>
        <v>1199.4938221714297</v>
      </c>
      <c r="M94" s="2">
        <f t="shared" si="343"/>
        <v>1203.6676557214976</v>
      </c>
      <c r="N94" s="2">
        <f t="shared" si="343"/>
        <v>1206.537057737203</v>
      </c>
      <c r="O94" s="2">
        <f t="shared" si="343"/>
        <v>1208.2956383891556</v>
      </c>
      <c r="P94" s="2">
        <f t="shared" si="343"/>
        <v>1209.0620562334561</v>
      </c>
      <c r="Q94" s="2">
        <f t="shared" si="343"/>
        <v>1208.8880245848586</v>
      </c>
      <c r="R94" s="2">
        <f t="shared" si="343"/>
        <v>1207.7618008234745</v>
      </c>
      <c r="S94" s="2">
        <f t="shared" si="343"/>
        <v>1205.6073940726708</v>
      </c>
      <c r="T94" s="2">
        <f t="shared" si="343"/>
        <v>1202.2794377869782</v>
      </c>
      <c r="U94" s="2">
        <f t="shared" si="343"/>
        <v>1197.55338128276</v>
      </c>
      <c r="V94" s="2">
        <f t="shared" si="343"/>
        <v>1191.1103383945065</v>
      </c>
      <c r="W94" s="2">
        <f t="shared" si="343"/>
        <v>1182.5155709342562</v>
      </c>
      <c r="X94" s="2"/>
      <c r="Y94" s="2"/>
      <c r="Z94" s="2"/>
      <c r="AC94" s="11"/>
      <c r="AD94" s="2"/>
      <c r="AE94" s="2"/>
      <c r="AF94" s="2"/>
      <c r="AG94">
        <f t="shared" ref="AG94:AG97" si="344">(-($C$8*$C$7)/$C$4)*I55</f>
        <v>-3132324000</v>
      </c>
      <c r="AH94">
        <f t="shared" si="329"/>
        <v>-3404350478.3485336</v>
      </c>
      <c r="AI94">
        <f t="shared" si="330"/>
        <v>-3609997774.4403071</v>
      </c>
      <c r="AJ94">
        <f t="shared" si="331"/>
        <v>-3763141743.8939705</v>
      </c>
      <c r="AK94">
        <f t="shared" si="332"/>
        <v>-3874115630.3231788</v>
      </c>
      <c r="AL94">
        <f t="shared" si="333"/>
        <v>-3950407291.1167536</v>
      </c>
      <c r="AM94">
        <f t="shared" si="334"/>
        <v>-3997164433.4908714</v>
      </c>
      <c r="AN94">
        <f t="shared" si="335"/>
        <v>-4017541951.1351352</v>
      </c>
      <c r="AO94">
        <f t="shared" si="336"/>
        <v>-4012914797.66222</v>
      </c>
      <c r="AP94">
        <f t="shared" si="337"/>
        <v>-3982970760.2945404</v>
      </c>
      <c r="AQ94">
        <f t="shared" si="338"/>
        <v>-3925689393.6041737</v>
      </c>
      <c r="AR94">
        <f t="shared" si="339"/>
        <v>-3837205691.8801789</v>
      </c>
      <c r="AS94">
        <f t="shared" si="340"/>
        <v>-3711549301.5460234</v>
      </c>
      <c r="AT94">
        <f t="shared" si="341"/>
        <v>-3540241677.2331395</v>
      </c>
      <c r="AU94">
        <f t="shared" si="342"/>
        <v>-3311724000</v>
      </c>
      <c r="AV94" s="2"/>
      <c r="AW94" s="2"/>
      <c r="AX94" s="2"/>
      <c r="AZ94" s="11"/>
      <c r="BA94" s="2"/>
      <c r="BB94" s="2"/>
      <c r="BC94" s="2"/>
      <c r="BD94">
        <f>$C$20/($C$21-$C$22*BD93)</f>
        <v>0.43252595155709345</v>
      </c>
      <c r="BE94">
        <f>$C$20/($C$21-$C$22*BE93)</f>
        <v>0.43252595155709345</v>
      </c>
      <c r="BF94">
        <f t="shared" ref="BF94:BR94" si="345">$C$20/($C$21-$C$22*BF93)</f>
        <v>0.43252595155709345</v>
      </c>
      <c r="BG94">
        <f t="shared" si="345"/>
        <v>0.43252595155709345</v>
      </c>
      <c r="BH94">
        <f t="shared" si="345"/>
        <v>0.43252595155709345</v>
      </c>
      <c r="BI94">
        <f t="shared" si="345"/>
        <v>0.43252595155709345</v>
      </c>
      <c r="BJ94">
        <f t="shared" si="345"/>
        <v>0.43252595155709345</v>
      </c>
      <c r="BK94">
        <f t="shared" si="345"/>
        <v>0.43252595155709345</v>
      </c>
      <c r="BL94">
        <f t="shared" si="345"/>
        <v>0.43252595155709345</v>
      </c>
      <c r="BM94">
        <f t="shared" si="345"/>
        <v>0.43252595155709345</v>
      </c>
      <c r="BN94">
        <f t="shared" si="345"/>
        <v>0.43252595155709345</v>
      </c>
      <c r="BO94">
        <f t="shared" si="345"/>
        <v>0.43252595155709345</v>
      </c>
      <c r="BP94">
        <f t="shared" si="345"/>
        <v>0.43252595155709345</v>
      </c>
      <c r="BQ94">
        <f t="shared" si="345"/>
        <v>0.43252595155709345</v>
      </c>
      <c r="BR94">
        <f t="shared" si="345"/>
        <v>0.43252595155709345</v>
      </c>
      <c r="BS94" s="2"/>
      <c r="BT94" s="2"/>
      <c r="BU94" s="2"/>
    </row>
    <row r="95" spans="1:73" x14ac:dyDescent="0.3">
      <c r="A95" s="4"/>
      <c r="C95" s="11"/>
      <c r="D95">
        <v>33</v>
      </c>
      <c r="E95">
        <f t="shared" si="327"/>
        <v>6.4000000000000043E-2</v>
      </c>
      <c r="F95" s="2"/>
      <c r="G95" s="2"/>
      <c r="H95" s="2"/>
      <c r="I95" s="2">
        <f t="shared" ref="I95:I97" si="346">BD95*I94+BD133</f>
        <v>1114.6379462707669</v>
      </c>
      <c r="J95" s="2">
        <f t="shared" ref="J95:J97" si="347">BE95*J94+BE133</f>
        <v>1136.7581751203707</v>
      </c>
      <c r="K95" s="2">
        <f t="shared" ref="K95:K97" si="348">BF95*K94+BF133</f>
        <v>1153.6826696282894</v>
      </c>
      <c r="L95" s="2">
        <f t="shared" ref="L95:L97" si="349">BG95*L94+BG133</f>
        <v>1166.4257620811334</v>
      </c>
      <c r="M95" s="2">
        <f t="shared" ref="M95:M97" si="350">BH95*M94+BH133</f>
        <v>1175.7518959931276</v>
      </c>
      <c r="N95" s="2">
        <f t="shared" ref="N95:N97" si="351">BI95*N94+BI133</f>
        <v>1182.2210012797455</v>
      </c>
      <c r="O95" s="2">
        <f t="shared" ref="O95:O97" si="352">BJ95*O94+BJ133</f>
        <v>1186.2217641749585</v>
      </c>
      <c r="P95" s="2">
        <f t="shared" ref="P95:P97" si="353">BK95*P94+BK133</f>
        <v>1187.9947433115526</v>
      </c>
      <c r="Q95" s="2">
        <f t="shared" ref="Q95:Q97" si="354">BL95*Q94+BL133</f>
        <v>1187.6466893792731</v>
      </c>
      <c r="R95" s="2">
        <f t="shared" ref="R95:R97" si="355">BM95*R94+BM133</f>
        <v>1185.156910199838</v>
      </c>
      <c r="S95" s="2">
        <f t="shared" ref="S95:S97" si="356">BN95*S94+BN133</f>
        <v>1180.3760561941813</v>
      </c>
      <c r="T95" s="2">
        <f t="shared" ref="T95:T97" si="357">BO95*T94+BO133</f>
        <v>1173.0172561092768</v>
      </c>
      <c r="U95" s="2">
        <f t="shared" ref="U95:U97" si="358">BP95*U94+BP133</f>
        <v>1162.6390838004368</v>
      </c>
      <c r="V95" s="2">
        <f t="shared" ref="V95:V97" si="359">BQ95*V94+BQ133</f>
        <v>1148.619357893594</v>
      </c>
      <c r="W95" s="2">
        <f t="shared" ref="W95:W97" si="360">BR95*W94+BR133</f>
        <v>1130.1182396606575</v>
      </c>
      <c r="X95" s="2"/>
      <c r="Y95" s="2"/>
      <c r="Z95" s="2"/>
      <c r="AC95" s="11"/>
      <c r="AD95" s="2"/>
      <c r="AE95" s="2"/>
      <c r="AF95" s="2"/>
      <c r="AG95">
        <f t="shared" si="344"/>
        <v>-3132324000</v>
      </c>
      <c r="AH95">
        <f t="shared" si="329"/>
        <v>-3375112531.9943051</v>
      </c>
      <c r="AI95">
        <f t="shared" si="330"/>
        <v>-3563022151.5622778</v>
      </c>
      <c r="AJ95">
        <f t="shared" si="331"/>
        <v>-3705973252.2992573</v>
      </c>
      <c r="AK95">
        <f t="shared" si="332"/>
        <v>-3811549687.2365046</v>
      </c>
      <c r="AL95">
        <f t="shared" si="333"/>
        <v>-3885376369.1579781</v>
      </c>
      <c r="AM95">
        <f t="shared" si="334"/>
        <v>-3931401309.571619</v>
      </c>
      <c r="AN95">
        <f t="shared" si="335"/>
        <v>-3952094784.3227868</v>
      </c>
      <c r="AO95">
        <f t="shared" si="336"/>
        <v>-3948574691.4089866</v>
      </c>
      <c r="AP95">
        <f t="shared" si="337"/>
        <v>-3920663871.3486471</v>
      </c>
      <c r="AQ95">
        <f t="shared" si="338"/>
        <v>-3866882079.7373338</v>
      </c>
      <c r="AR95">
        <f t="shared" si="339"/>
        <v>-3784372325.7548041</v>
      </c>
      <c r="AS95">
        <f t="shared" si="340"/>
        <v>-3668758311.8173823</v>
      </c>
      <c r="AT95">
        <f t="shared" si="341"/>
        <v>-3513926621.6529908</v>
      </c>
      <c r="AU95">
        <f t="shared" si="342"/>
        <v>-3311724000</v>
      </c>
      <c r="AV95" s="2"/>
      <c r="AW95" s="2"/>
      <c r="AX95" s="2"/>
      <c r="AZ95" s="11"/>
      <c r="BA95" s="2"/>
      <c r="BB95" s="2"/>
      <c r="BC95" s="2"/>
      <c r="BD95">
        <f t="shared" ref="BD95:BD97" si="361">$C$20/($C$21-$C$22*BD94)</f>
        <v>0.53206374455048899</v>
      </c>
      <c r="BE95">
        <f t="shared" ref="BE95:BE98" si="362">$C$20/($C$21-$C$22*BE94)</f>
        <v>0.53206374455048899</v>
      </c>
      <c r="BF95">
        <f t="shared" ref="BF95:BF98" si="363">$C$20/($C$21-$C$22*BF94)</f>
        <v>0.53206374455048899</v>
      </c>
      <c r="BG95">
        <f t="shared" ref="BG95:BG98" si="364">$C$20/($C$21-$C$22*BG94)</f>
        <v>0.53206374455048899</v>
      </c>
      <c r="BH95">
        <f t="shared" ref="BH95:BH98" si="365">$C$20/($C$21-$C$22*BH94)</f>
        <v>0.53206374455048899</v>
      </c>
      <c r="BI95">
        <f t="shared" ref="BI95:BI98" si="366">$C$20/($C$21-$C$22*BI94)</f>
        <v>0.53206374455048899</v>
      </c>
      <c r="BJ95">
        <f t="shared" ref="BJ95:BJ98" si="367">$C$20/($C$21-$C$22*BJ94)</f>
        <v>0.53206374455048899</v>
      </c>
      <c r="BK95">
        <f t="shared" ref="BK95:BK98" si="368">$C$20/($C$21-$C$22*BK94)</f>
        <v>0.53206374455048899</v>
      </c>
      <c r="BL95">
        <f t="shared" ref="BL95:BL98" si="369">$C$20/($C$21-$C$22*BL94)</f>
        <v>0.53206374455048899</v>
      </c>
      <c r="BM95">
        <f t="shared" ref="BM95:BM98" si="370">$C$20/($C$21-$C$22*BM94)</f>
        <v>0.53206374455048899</v>
      </c>
      <c r="BN95">
        <f t="shared" ref="BN95:BN98" si="371">$C$20/($C$21-$C$22*BN94)</f>
        <v>0.53206374455048899</v>
      </c>
      <c r="BO95">
        <f t="shared" ref="BO95:BO98" si="372">$C$20/($C$21-$C$22*BO94)</f>
        <v>0.53206374455048899</v>
      </c>
      <c r="BP95">
        <f t="shared" ref="BP95:BP98" si="373">$C$20/($C$21-$C$22*BP94)</f>
        <v>0.53206374455048899</v>
      </c>
      <c r="BQ95">
        <f t="shared" ref="BQ95:BQ98" si="374">$C$20/($C$21-$C$22*BQ94)</f>
        <v>0.53206374455048899</v>
      </c>
      <c r="BR95">
        <f t="shared" ref="BR95:BR98" si="375">$C$20/($C$21-$C$22*BR94)</f>
        <v>0.53206374455048899</v>
      </c>
      <c r="BS95" s="2"/>
      <c r="BT95" s="2"/>
      <c r="BU95" s="2"/>
    </row>
    <row r="96" spans="1:73" x14ac:dyDescent="0.3">
      <c r="A96" s="4"/>
      <c r="C96" s="11"/>
      <c r="D96">
        <v>32</v>
      </c>
      <c r="E96">
        <f t="shared" si="327"/>
        <v>6.2000000000000041E-2</v>
      </c>
      <c r="F96" s="2"/>
      <c r="G96" s="2"/>
      <c r="H96" s="2"/>
      <c r="I96" s="2">
        <f t="shared" si="346"/>
        <v>1054.0086891452511</v>
      </c>
      <c r="J96" s="2">
        <f t="shared" si="347"/>
        <v>1086.1203688260105</v>
      </c>
      <c r="K96" s="2">
        <f t="shared" si="348"/>
        <v>1111.030919802171</v>
      </c>
      <c r="L96" s="2">
        <f t="shared" si="349"/>
        <v>1130.0235311168265</v>
      </c>
      <c r="M96" s="2">
        <f t="shared" si="350"/>
        <v>1144.0801807870787</v>
      </c>
      <c r="N96" s="2">
        <f t="shared" si="351"/>
        <v>1153.9300135333992</v>
      </c>
      <c r="O96" s="2">
        <f t="shared" si="352"/>
        <v>1160.0854400309934</v>
      </c>
      <c r="P96" s="2">
        <f t="shared" si="353"/>
        <v>1162.8676164411859</v>
      </c>
      <c r="Q96" s="2">
        <f t="shared" si="354"/>
        <v>1162.4224836276078</v>
      </c>
      <c r="R96" s="2">
        <f t="shared" si="355"/>
        <v>1158.7281139073202</v>
      </c>
      <c r="S96" s="2">
        <f t="shared" si="356"/>
        <v>1151.5937123923791</v>
      </c>
      <c r="T96" s="2">
        <f t="shared" si="357"/>
        <v>1140.6502338299915</v>
      </c>
      <c r="U96" s="2">
        <f t="shared" si="358"/>
        <v>1125.3321887123943</v>
      </c>
      <c r="V96" s="2">
        <f t="shared" si="359"/>
        <v>1104.8498086919694</v>
      </c>
      <c r="W96" s="2">
        <f t="shared" si="360"/>
        <v>1078.1503049816438</v>
      </c>
      <c r="X96" s="2"/>
      <c r="Y96" s="2"/>
      <c r="Z96" s="2"/>
      <c r="AC96" s="11"/>
      <c r="AD96" s="2"/>
      <c r="AE96" s="2"/>
      <c r="AF96" s="2"/>
      <c r="AG96">
        <f t="shared" si="344"/>
        <v>-3132324000</v>
      </c>
      <c r="AH96">
        <f t="shared" si="329"/>
        <v>-3343463107.813333</v>
      </c>
      <c r="AI96">
        <f t="shared" si="330"/>
        <v>-3511426347.1349835</v>
      </c>
      <c r="AJ96">
        <f t="shared" si="331"/>
        <v>-3642343284.1936488</v>
      </c>
      <c r="AK96">
        <f t="shared" si="332"/>
        <v>-3741110091.906939</v>
      </c>
      <c r="AL96">
        <f t="shared" si="333"/>
        <v>-3811496631.073175</v>
      </c>
      <c r="AM96">
        <f t="shared" si="334"/>
        <v>-3856236438.1556082</v>
      </c>
      <c r="AN96">
        <f t="shared" si="335"/>
        <v>-3877096535.825345</v>
      </c>
      <c r="AO96">
        <f t="shared" si="336"/>
        <v>-3874925380.6817627</v>
      </c>
      <c r="AP96">
        <f t="shared" si="337"/>
        <v>-3849678199.2734008</v>
      </c>
      <c r="AQ96">
        <f t="shared" si="338"/>
        <v>-3800419632.537806</v>
      </c>
      <c r="AR96">
        <f t="shared" si="339"/>
        <v>-3725304174.4151797</v>
      </c>
      <c r="AS96">
        <f t="shared" si="340"/>
        <v>-3621535504.8563395</v>
      </c>
      <c r="AT96">
        <f t="shared" si="341"/>
        <v>-3485306637.0144892</v>
      </c>
      <c r="AU96">
        <f t="shared" si="342"/>
        <v>-3311724000</v>
      </c>
      <c r="AV96" s="2"/>
      <c r="AW96" s="2"/>
      <c r="AX96" s="2"/>
      <c r="AZ96" s="11"/>
      <c r="BA96" s="2"/>
      <c r="BB96" s="2"/>
      <c r="BC96" s="2"/>
      <c r="BD96">
        <f t="shared" si="361"/>
        <v>0.56181787237512992</v>
      </c>
      <c r="BE96">
        <f t="shared" si="362"/>
        <v>0.56181787237512992</v>
      </c>
      <c r="BF96">
        <f t="shared" si="363"/>
        <v>0.56181787237512992</v>
      </c>
      <c r="BG96">
        <f t="shared" si="364"/>
        <v>0.56181787237512992</v>
      </c>
      <c r="BH96">
        <f t="shared" si="365"/>
        <v>0.56181787237512992</v>
      </c>
      <c r="BI96">
        <f t="shared" si="366"/>
        <v>0.56181787237512992</v>
      </c>
      <c r="BJ96">
        <f t="shared" si="367"/>
        <v>0.56181787237512992</v>
      </c>
      <c r="BK96">
        <f t="shared" si="368"/>
        <v>0.56181787237512992</v>
      </c>
      <c r="BL96">
        <f t="shared" si="369"/>
        <v>0.56181787237512992</v>
      </c>
      <c r="BM96">
        <f t="shared" si="370"/>
        <v>0.56181787237512992</v>
      </c>
      <c r="BN96">
        <f t="shared" si="371"/>
        <v>0.56181787237512992</v>
      </c>
      <c r="BO96">
        <f t="shared" si="372"/>
        <v>0.56181787237512992</v>
      </c>
      <c r="BP96">
        <f t="shared" si="373"/>
        <v>0.56181787237512992</v>
      </c>
      <c r="BQ96">
        <f t="shared" si="374"/>
        <v>0.56181787237512992</v>
      </c>
      <c r="BR96">
        <f t="shared" si="375"/>
        <v>0.56181787237512992</v>
      </c>
      <c r="BS96" s="2"/>
      <c r="BT96" s="2"/>
      <c r="BU96" s="2"/>
    </row>
    <row r="97" spans="1:73" x14ac:dyDescent="0.3">
      <c r="A97" s="4"/>
      <c r="C97" s="11"/>
      <c r="D97">
        <v>31</v>
      </c>
      <c r="E97">
        <f t="shared" si="327"/>
        <v>6.0000000000000039E-2</v>
      </c>
      <c r="F97" s="2"/>
      <c r="G97" s="2"/>
      <c r="H97" s="2"/>
      <c r="I97" s="2">
        <f t="shared" si="346"/>
        <v>1002.2784664294436</v>
      </c>
      <c r="J97" s="2">
        <f t="shared" si="347"/>
        <v>1040.8673277461505</v>
      </c>
      <c r="K97" s="2">
        <f t="shared" si="348"/>
        <v>1071.2624324168635</v>
      </c>
      <c r="L97" s="2">
        <f t="shared" si="349"/>
        <v>1094.7560986040617</v>
      </c>
      <c r="M97" s="2">
        <f t="shared" si="350"/>
        <v>1112.3570974005843</v>
      </c>
      <c r="N97" s="2">
        <f t="shared" si="351"/>
        <v>1124.8276408214397</v>
      </c>
      <c r="O97" s="2">
        <f t="shared" si="352"/>
        <v>1132.7118365578917</v>
      </c>
      <c r="P97" s="2">
        <f t="shared" si="353"/>
        <v>1136.3563177865251</v>
      </c>
      <c r="Q97" s="2">
        <f t="shared" si="354"/>
        <v>1135.9235900259537</v>
      </c>
      <c r="R97" s="2">
        <f t="shared" si="355"/>
        <v>1131.3984637810122</v>
      </c>
      <c r="S97" s="2">
        <f t="shared" si="356"/>
        <v>1122.5877660294575</v>
      </c>
      <c r="T97" s="2">
        <f t="shared" si="357"/>
        <v>1109.1133485041109</v>
      </c>
      <c r="U97" s="2">
        <f t="shared" si="358"/>
        <v>1090.3982386416856</v>
      </c>
      <c r="V97" s="2">
        <f t="shared" si="359"/>
        <v>1065.6456127304286</v>
      </c>
      <c r="W97" s="2">
        <f t="shared" si="360"/>
        <v>1033.8101140823801</v>
      </c>
      <c r="X97" s="2"/>
      <c r="Y97" s="2"/>
      <c r="Z97" s="2"/>
      <c r="AC97" s="11"/>
      <c r="AD97" s="2"/>
      <c r="AE97" s="2"/>
      <c r="AF97" s="2"/>
      <c r="AG97">
        <f t="shared" si="344"/>
        <v>-3132324000</v>
      </c>
      <c r="AH97">
        <f t="shared" si="329"/>
        <v>-3313353733.4147811</v>
      </c>
      <c r="AI97">
        <f t="shared" si="330"/>
        <v>-3461523764.2235665</v>
      </c>
      <c r="AJ97">
        <f t="shared" si="331"/>
        <v>-3579884859.255877</v>
      </c>
      <c r="AK97">
        <f t="shared" si="332"/>
        <v>-3671094152.5304184</v>
      </c>
      <c r="AL97">
        <f t="shared" si="333"/>
        <v>-3737340082.9954157</v>
      </c>
      <c r="AM97">
        <f t="shared" si="334"/>
        <v>-3780299777.0632043</v>
      </c>
      <c r="AN97">
        <f t="shared" si="335"/>
        <v>-3801117588.315485</v>
      </c>
      <c r="AO97">
        <f t="shared" si="336"/>
        <v>-3800397346.9353657</v>
      </c>
      <c r="AP97">
        <f t="shared" si="337"/>
        <v>-3778203979.0171809</v>
      </c>
      <c r="AQ97">
        <f t="shared" si="338"/>
        <v>-3734072821.7947268</v>
      </c>
      <c r="AR97">
        <f t="shared" si="339"/>
        <v>-3667027442.120194</v>
      </c>
      <c r="AS97">
        <f t="shared" si="340"/>
        <v>-3575609304.7652807</v>
      </c>
      <c r="AT97">
        <f t="shared" si="341"/>
        <v>-3457925480.5228438</v>
      </c>
      <c r="AU97">
        <f t="shared" si="342"/>
        <v>-3311724000</v>
      </c>
      <c r="AV97" s="2"/>
      <c r="AW97" s="2"/>
      <c r="AX97" s="2"/>
      <c r="AZ97" s="11"/>
      <c r="BA97" s="2"/>
      <c r="BB97" s="2"/>
      <c r="BC97" s="2"/>
      <c r="BD97">
        <f t="shared" si="361"/>
        <v>0.57136910737231439</v>
      </c>
      <c r="BE97">
        <f t="shared" si="362"/>
        <v>0.57136910737231439</v>
      </c>
      <c r="BF97">
        <f t="shared" si="363"/>
        <v>0.57136910737231439</v>
      </c>
      <c r="BG97">
        <f t="shared" si="364"/>
        <v>0.57136910737231439</v>
      </c>
      <c r="BH97">
        <f t="shared" si="365"/>
        <v>0.57136910737231439</v>
      </c>
      <c r="BI97">
        <f t="shared" si="366"/>
        <v>0.57136910737231439</v>
      </c>
      <c r="BJ97">
        <f t="shared" si="367"/>
        <v>0.57136910737231439</v>
      </c>
      <c r="BK97">
        <f t="shared" si="368"/>
        <v>0.57136910737231439</v>
      </c>
      <c r="BL97">
        <f t="shared" si="369"/>
        <v>0.57136910737231439</v>
      </c>
      <c r="BM97">
        <f t="shared" si="370"/>
        <v>0.57136910737231439</v>
      </c>
      <c r="BN97">
        <f t="shared" si="371"/>
        <v>0.57136910737231439</v>
      </c>
      <c r="BO97">
        <f t="shared" si="372"/>
        <v>0.57136910737231439</v>
      </c>
      <c r="BP97">
        <f t="shared" si="373"/>
        <v>0.57136910737231439</v>
      </c>
      <c r="BQ97">
        <f t="shared" si="374"/>
        <v>0.57136910737231439</v>
      </c>
      <c r="BR97">
        <f t="shared" si="375"/>
        <v>0.57136910737231439</v>
      </c>
      <c r="BS97" s="2"/>
      <c r="BT97" s="2"/>
      <c r="BU97" s="2"/>
    </row>
    <row r="98" spans="1:73" x14ac:dyDescent="0.3">
      <c r="A98" s="4"/>
      <c r="C98" s="11"/>
      <c r="D98">
        <v>30</v>
      </c>
      <c r="E98">
        <f t="shared" si="327"/>
        <v>5.8000000000000038E-2</v>
      </c>
      <c r="F98" s="2"/>
      <c r="G98" s="2"/>
      <c r="H98" s="2"/>
      <c r="I98" s="2"/>
      <c r="J98" s="2">
        <f t="shared" ref="J98" si="376">BE98*J97+BE136</f>
        <v>995.92339605114148</v>
      </c>
      <c r="K98" s="2">
        <f t="shared" ref="K98" si="377">BF98*K97+BF136</f>
        <v>1030.7357329543465</v>
      </c>
      <c r="L98" s="2">
        <f t="shared" ref="L98" si="378">BG98*L97+BG136</f>
        <v>1057.9845964774727</v>
      </c>
      <c r="M98" s="2">
        <f t="shared" ref="M98" si="379">BH98*M97+BH136</f>
        <v>1078.6318944050047</v>
      </c>
      <c r="N98" s="2">
        <f t="shared" ref="N98" si="380">BI98*N97+BI136</f>
        <v>1093.4183420100751</v>
      </c>
      <c r="O98" s="2">
        <f t="shared" ref="O98" si="381">BJ98*O97+BJ136</f>
        <v>1102.8820842432071</v>
      </c>
      <c r="P98" s="2">
        <f t="shared" ref="P98" si="382">BK98*P97+BK136</f>
        <v>1107.3728425106606</v>
      </c>
      <c r="Q98" s="2">
        <f t="shared" ref="Q98" si="383">BL98*Q97+BL136</f>
        <v>1107.0615307874143</v>
      </c>
      <c r="R98" s="2">
        <f t="shared" ref="R98" si="384">BM98*R97+BM136</f>
        <v>1101.945349361949</v>
      </c>
      <c r="S98" s="2">
        <f t="shared" ref="S98" si="385">BN98*S97+BN136</f>
        <v>1091.8484018021659</v>
      </c>
      <c r="T98" s="2">
        <f t="shared" ref="T98" si="386">BO98*T97+BO136</f>
        <v>1076.4179083878969</v>
      </c>
      <c r="U98" s="2">
        <f t="shared" ref="U98" si="387">BP98*U97+BP136</f>
        <v>1055.1161227861219</v>
      </c>
      <c r="V98" s="2">
        <f t="shared" ref="V98" si="388">BQ98*V97+BQ136</f>
        <v>818.51138888047205</v>
      </c>
      <c r="W98" s="2"/>
      <c r="X98" s="2"/>
      <c r="Y98" s="2"/>
      <c r="Z98" s="2"/>
      <c r="AC98" s="11"/>
      <c r="AD98" s="2"/>
      <c r="AE98" s="2"/>
      <c r="AF98" s="2"/>
      <c r="AG98" s="2"/>
      <c r="AH98">
        <f t="shared" si="329"/>
        <v>-3132324000</v>
      </c>
      <c r="AI98">
        <f t="shared" si="330"/>
        <v>-3293764898.4109588</v>
      </c>
      <c r="AJ98">
        <f t="shared" si="331"/>
        <v>-3423653633.7304373</v>
      </c>
      <c r="AK98">
        <f t="shared" si="332"/>
        <v>-3524495551.3723192</v>
      </c>
      <c r="AL98">
        <f t="shared" si="333"/>
        <v>-3598377885.5254793</v>
      </c>
      <c r="AM98">
        <f t="shared" si="334"/>
        <v>-3646925263.8813195</v>
      </c>
      <c r="AN98">
        <f t="shared" si="335"/>
        <v>-3671275821.195262</v>
      </c>
      <c r="AO98">
        <f t="shared" si="336"/>
        <v>-3672072099.3660312</v>
      </c>
      <c r="AP98">
        <f t="shared" si="337"/>
        <v>-3649463333.0350628</v>
      </c>
      <c r="AQ98">
        <f t="shared" si="338"/>
        <v>-3603117873.4269962</v>
      </c>
      <c r="AR98">
        <f t="shared" si="339"/>
        <v>-3532246546.8242731</v>
      </c>
      <c r="AS98">
        <f t="shared" si="340"/>
        <v>-3435639829.3607745</v>
      </c>
      <c r="AT98">
        <f t="shared" si="341"/>
        <v>-3311724000</v>
      </c>
      <c r="AU98" s="2"/>
      <c r="AV98" s="2"/>
      <c r="AW98" s="2"/>
      <c r="AX98" s="2"/>
      <c r="AZ98" s="11"/>
      <c r="BA98" s="2"/>
      <c r="BB98" s="2"/>
      <c r="BC98" s="2"/>
      <c r="BD98" s="2"/>
      <c r="BE98">
        <f t="shared" si="362"/>
        <v>0.57450433876327633</v>
      </c>
      <c r="BF98">
        <f t="shared" si="363"/>
        <v>0.57450433876327633</v>
      </c>
      <c r="BG98">
        <f t="shared" si="364"/>
        <v>0.57450433876327633</v>
      </c>
      <c r="BH98">
        <f t="shared" si="365"/>
        <v>0.57450433876327633</v>
      </c>
      <c r="BI98">
        <f t="shared" si="366"/>
        <v>0.57450433876327633</v>
      </c>
      <c r="BJ98">
        <f t="shared" si="367"/>
        <v>0.57450433876327633</v>
      </c>
      <c r="BK98">
        <f t="shared" si="368"/>
        <v>0.57450433876327633</v>
      </c>
      <c r="BL98">
        <f t="shared" si="369"/>
        <v>0.57450433876327633</v>
      </c>
      <c r="BM98">
        <f t="shared" si="370"/>
        <v>0.57450433876327633</v>
      </c>
      <c r="BN98">
        <f t="shared" si="371"/>
        <v>0.57450433876327633</v>
      </c>
      <c r="BO98">
        <f t="shared" si="372"/>
        <v>0.57450433876327633</v>
      </c>
      <c r="BP98">
        <f t="shared" si="373"/>
        <v>0.57450433876327633</v>
      </c>
      <c r="BQ98">
        <f t="shared" si="374"/>
        <v>0.57450433876327633</v>
      </c>
      <c r="BR98">
        <f t="shared" si="375"/>
        <v>0.57450433876327633</v>
      </c>
      <c r="BS98" s="2"/>
      <c r="BT98" s="2"/>
      <c r="BU98" s="2"/>
    </row>
    <row r="99" spans="1:73" x14ac:dyDescent="0.3">
      <c r="A99" s="4"/>
      <c r="C99" s="11"/>
      <c r="D99">
        <v>29</v>
      </c>
      <c r="E99">
        <f t="shared" si="327"/>
        <v>5.6000000000000036E-2</v>
      </c>
      <c r="F99" s="2"/>
      <c r="G99" s="2"/>
      <c r="H99" s="2"/>
      <c r="I99" s="2"/>
      <c r="J99" s="2"/>
      <c r="K99" s="2">
        <f t="shared" ref="K99" si="389">BF99*K98+BF137</f>
        <v>989.01113186548673</v>
      </c>
      <c r="L99" s="2">
        <f t="shared" ref="L99" si="390">BG99*L98+BG137</f>
        <v>1019.565101382723</v>
      </c>
      <c r="M99" s="2">
        <f t="shared" ref="M99" si="391">BH99*M98+BH137</f>
        <v>1042.9583046903949</v>
      </c>
      <c r="N99" s="2">
        <f t="shared" ref="N99" si="392">BI99*N98+BI137</f>
        <v>1059.8884938844453</v>
      </c>
      <c r="O99" s="2">
        <f t="shared" ref="O99" si="393">BJ99*O98+BJ137</f>
        <v>1070.8726651701545</v>
      </c>
      <c r="P99" s="2">
        <f t="shared" ref="P99" si="394">BK99*P98+BK137</f>
        <v>1076.2553220998052</v>
      </c>
      <c r="Q99" s="2">
        <f t="shared" ref="Q99" si="395">BL99*Q98+BL137</f>
        <v>1076.2147178012037</v>
      </c>
      <c r="R99" s="2">
        <f t="shared" ref="R99" si="396">BM99*R98+BM137</f>
        <v>1070.7668441352475</v>
      </c>
      <c r="S99" s="2">
        <f t="shared" ref="S99" si="397">BN99*S98+BN137</f>
        <v>1059.7671202704876</v>
      </c>
      <c r="T99" s="2">
        <f t="shared" ref="T99" si="398">BO99*T98+BO137</f>
        <v>1042.9099042731948</v>
      </c>
      <c r="U99" s="2">
        <f t="shared" ref="U99" si="399">BP99*U98+BP137</f>
        <v>1019.7261299816091</v>
      </c>
      <c r="V99" s="2"/>
      <c r="W99" s="2"/>
      <c r="X99" s="2"/>
      <c r="Y99" s="2"/>
      <c r="Z99" s="2"/>
      <c r="AC99" s="11"/>
      <c r="AD99" s="2"/>
      <c r="AE99" s="2"/>
      <c r="AF99" s="2"/>
      <c r="AG99" s="2"/>
      <c r="AH99" s="2"/>
      <c r="AI99">
        <f t="shared" si="330"/>
        <v>-3132324000</v>
      </c>
      <c r="AJ99">
        <f t="shared" si="331"/>
        <v>-3271323069.1873245</v>
      </c>
      <c r="AK99">
        <f t="shared" si="332"/>
        <v>-3380145770.2378864</v>
      </c>
      <c r="AL99">
        <f t="shared" si="333"/>
        <v>-3460733358.383131</v>
      </c>
      <c r="AM99">
        <f t="shared" si="334"/>
        <v>-3514633515.0297837</v>
      </c>
      <c r="AN99">
        <f t="shared" si="335"/>
        <v>-3542976378.2835793</v>
      </c>
      <c r="AO99">
        <f t="shared" si="336"/>
        <v>-3546466279.5793548</v>
      </c>
      <c r="AP99">
        <f t="shared" si="337"/>
        <v>-3525386794.8996038</v>
      </c>
      <c r="AQ99">
        <f t="shared" si="338"/>
        <v>-3479618388.1549554</v>
      </c>
      <c r="AR99">
        <f t="shared" si="339"/>
        <v>-3408669550.3390126</v>
      </c>
      <c r="AS99">
        <f t="shared" si="340"/>
        <v>-3311724000</v>
      </c>
      <c r="AT99" s="2"/>
      <c r="AU99" s="2"/>
      <c r="AV99" s="2"/>
      <c r="AW99" s="2"/>
      <c r="AX99" s="2"/>
      <c r="AZ99" s="11"/>
      <c r="BA99" s="2"/>
      <c r="BB99" s="2"/>
      <c r="BC99" s="2"/>
      <c r="BD99" s="2"/>
      <c r="BE99" s="2"/>
      <c r="BF99">
        <f t="shared" ref="BF99" si="400">$C$20/($C$21-$C$22*BF98)</f>
        <v>0.57554100554600229</v>
      </c>
      <c r="BG99">
        <f t="shared" ref="BG99" si="401">$C$20/($C$21-$C$22*BG98)</f>
        <v>0.57554100554600229</v>
      </c>
      <c r="BH99">
        <f t="shared" ref="BH99" si="402">$C$20/($C$21-$C$22*BH98)</f>
        <v>0.57554100554600229</v>
      </c>
      <c r="BI99">
        <f t="shared" ref="BI99" si="403">$C$20/($C$21-$C$22*BI98)</f>
        <v>0.57554100554600229</v>
      </c>
      <c r="BJ99">
        <f t="shared" ref="BJ99" si="404">$C$20/($C$21-$C$22*BJ98)</f>
        <v>0.57554100554600229</v>
      </c>
      <c r="BK99">
        <f t="shared" ref="BK99" si="405">$C$20/($C$21-$C$22*BK98)</f>
        <v>0.57554100554600229</v>
      </c>
      <c r="BL99">
        <f t="shared" ref="BL99" si="406">$C$20/($C$21-$C$22*BL98)</f>
        <v>0.57554100554600229</v>
      </c>
      <c r="BM99">
        <f t="shared" ref="BM99" si="407">$C$20/($C$21-$C$22*BM98)</f>
        <v>0.57554100554600229</v>
      </c>
      <c r="BN99">
        <f t="shared" ref="BN99" si="408">$C$20/($C$21-$C$22*BN98)</f>
        <v>0.57554100554600229</v>
      </c>
      <c r="BO99">
        <f t="shared" ref="BO99" si="409">$C$20/($C$21-$C$22*BO98)</f>
        <v>0.57554100554600229</v>
      </c>
      <c r="BP99">
        <f t="shared" ref="BP99" si="410">$C$20/($C$21-$C$22*BP98)</f>
        <v>0.57554100554600229</v>
      </c>
      <c r="BQ99" s="2"/>
      <c r="BR99" s="2"/>
      <c r="BS99" s="2"/>
      <c r="BT99" s="2"/>
      <c r="BU99" s="2"/>
    </row>
    <row r="100" spans="1:73" x14ac:dyDescent="0.3">
      <c r="A100" s="4"/>
      <c r="C100" s="11"/>
      <c r="D100">
        <v>28</v>
      </c>
      <c r="E100">
        <f t="shared" si="327"/>
        <v>5.4000000000000034E-2</v>
      </c>
      <c r="F100" s="2"/>
      <c r="G100" s="2"/>
      <c r="H100" s="2"/>
      <c r="I100" s="2"/>
      <c r="J100" s="2"/>
      <c r="K100" s="2"/>
      <c r="L100" s="2">
        <f t="shared" ref="L100" si="411">BG100*L99+BG138</f>
        <v>980.496913370519</v>
      </c>
      <c r="M100" s="2">
        <f t="shared" ref="M100:M101" si="412">BH100*M99+BH138</f>
        <v>1006.3287984804024</v>
      </c>
      <c r="N100" s="2">
        <f t="shared" ref="N100:N101" si="413">BI100*N99+BI138</f>
        <v>1025.2378442851746</v>
      </c>
      <c r="O100" s="2">
        <f t="shared" ref="O100:O101" si="414">BJ100*O99+BJ138</f>
        <v>1037.7123416469572</v>
      </c>
      <c r="P100" s="2">
        <f t="shared" ref="P100:P101" si="415">BK100*P99+BK138</f>
        <v>1044.0892173505542</v>
      </c>
      <c r="Q100" s="2">
        <f t="shared" ref="Q100:Q101" si="416">BL100*Q99+BL138</f>
        <v>1044.5576865897406</v>
      </c>
      <c r="R100" s="2">
        <f t="shared" ref="R100:R101" si="417">BM100*R99+BM138</f>
        <v>1039.162670932501</v>
      </c>
      <c r="S100" s="2">
        <f t="shared" ref="S100:S101" si="418">BN100*S99+BN138</f>
        <v>1027.8079039406371</v>
      </c>
      <c r="T100" s="2">
        <f t="shared" ref="T100" si="419">BO100*T99+BO138</f>
        <v>1010.2589054898464</v>
      </c>
      <c r="U100" s="2"/>
      <c r="V100" s="2"/>
      <c r="W100" s="2"/>
      <c r="X100" s="2"/>
      <c r="Y100" s="2"/>
      <c r="Z100" s="2"/>
      <c r="AA100" s="5"/>
      <c r="AB100" s="5"/>
      <c r="AC100" s="11"/>
      <c r="AD100" s="2"/>
      <c r="AE100" s="2"/>
      <c r="AF100" s="2"/>
      <c r="AG100" s="2"/>
      <c r="AH100" s="2"/>
      <c r="AI100" s="2"/>
      <c r="AJ100">
        <f t="shared" si="331"/>
        <v>-3132324000</v>
      </c>
      <c r="AK100">
        <f t="shared" si="332"/>
        <v>-3246783146.2420034</v>
      </c>
      <c r="AL100">
        <f t="shared" si="333"/>
        <v>-3332856175.0329638</v>
      </c>
      <c r="AM100">
        <f t="shared" si="334"/>
        <v>-3391964821.42347</v>
      </c>
      <c r="AN100">
        <f t="shared" si="335"/>
        <v>-3425228397.1023226</v>
      </c>
      <c r="AO100">
        <f t="shared" si="336"/>
        <v>-3433456803.030561</v>
      </c>
      <c r="AP100">
        <f t="shared" si="337"/>
        <v>-3417160747.1954317</v>
      </c>
      <c r="AQ100">
        <f t="shared" si="338"/>
        <v>-3376579007.9036932</v>
      </c>
      <c r="AR100">
        <f t="shared" si="339"/>
        <v>-3311724000</v>
      </c>
      <c r="AS100" s="2"/>
      <c r="AT100" s="2"/>
      <c r="AU100" s="2"/>
      <c r="AV100" s="2"/>
      <c r="AW100" s="2"/>
      <c r="AX100" s="2"/>
      <c r="AZ100" s="11"/>
      <c r="BA100" s="2"/>
      <c r="BB100" s="2"/>
      <c r="BC100" s="2"/>
      <c r="BD100" s="2"/>
      <c r="BE100" s="2"/>
      <c r="BF100" s="2"/>
      <c r="BG100">
        <f t="shared" ref="BG100" si="420">$C$20/($C$21-$C$22*BG99)</f>
        <v>0.57588460377921813</v>
      </c>
      <c r="BH100">
        <f t="shared" ref="BH100" si="421">$C$20/($C$21-$C$22*BH99)</f>
        <v>0.57588460377921813</v>
      </c>
      <c r="BI100">
        <f t="shared" ref="BI100" si="422">$C$20/($C$21-$C$22*BI99)</f>
        <v>0.57588460377921813</v>
      </c>
      <c r="BJ100">
        <f t="shared" ref="BJ100" si="423">$C$20/($C$21-$C$22*BJ99)</f>
        <v>0.57588460377921813</v>
      </c>
      <c r="BK100">
        <f t="shared" ref="BK100" si="424">$C$20/($C$21-$C$22*BK99)</f>
        <v>0.57588460377921813</v>
      </c>
      <c r="BL100">
        <f t="shared" ref="BL100" si="425">$C$20/($C$21-$C$22*BL99)</f>
        <v>0.57588460377921813</v>
      </c>
      <c r="BM100">
        <f t="shared" ref="BM100" si="426">$C$20/($C$21-$C$22*BM99)</f>
        <v>0.57588460377921813</v>
      </c>
      <c r="BN100">
        <f t="shared" ref="BN100" si="427">$C$20/($C$21-$C$22*BN99)</f>
        <v>0.57588460377921813</v>
      </c>
      <c r="BO100">
        <f t="shared" ref="BO100" si="428">$C$20/($C$21-$C$22*BO99)</f>
        <v>0.57588460377921813</v>
      </c>
      <c r="BP100" s="2"/>
      <c r="BQ100" s="2"/>
      <c r="BR100" s="2"/>
      <c r="BS100" s="2"/>
      <c r="BT100" s="2"/>
      <c r="BU100" s="2"/>
    </row>
    <row r="101" spans="1:73" x14ac:dyDescent="0.3">
      <c r="A101" s="4"/>
      <c r="C101" s="11"/>
      <c r="D101">
        <v>27</v>
      </c>
      <c r="E101">
        <f t="shared" si="327"/>
        <v>5.2000000000000032E-2</v>
      </c>
      <c r="F101" s="2"/>
      <c r="G101" s="2"/>
      <c r="H101" s="2"/>
      <c r="I101" s="2"/>
      <c r="J101" s="2"/>
      <c r="K101" s="2"/>
      <c r="L101" s="2"/>
      <c r="M101" s="2">
        <f t="shared" si="412"/>
        <v>970.21774622389512</v>
      </c>
      <c r="N101" s="2">
        <f t="shared" si="413"/>
        <v>990.94712747232484</v>
      </c>
      <c r="O101" s="2">
        <f t="shared" si="414"/>
        <v>1004.9387933640571</v>
      </c>
      <c r="P101" s="2">
        <f t="shared" si="415"/>
        <v>1012.5251203772593</v>
      </c>
      <c r="Q101" s="2">
        <f t="shared" si="416"/>
        <v>1013.9166157779093</v>
      </c>
      <c r="R101" s="2">
        <f t="shared" si="417"/>
        <v>1009.2056105630918</v>
      </c>
      <c r="S101" s="2">
        <f t="shared" si="418"/>
        <v>998.37156187838968</v>
      </c>
      <c r="T101" s="2"/>
      <c r="U101" s="2"/>
      <c r="V101" s="2"/>
      <c r="W101" s="2"/>
      <c r="X101" s="2"/>
      <c r="Y101" s="2"/>
      <c r="Z101" s="2"/>
      <c r="AC101" s="11"/>
      <c r="AD101" s="2"/>
      <c r="AE101" s="2"/>
      <c r="AF101" s="2"/>
      <c r="AG101" s="2"/>
      <c r="AH101" s="2"/>
      <c r="AI101" s="2"/>
      <c r="AJ101" s="2"/>
      <c r="AK101">
        <f t="shared" si="332"/>
        <v>-3132324000</v>
      </c>
      <c r="AL101">
        <f t="shared" si="333"/>
        <v>-3223407928.6979408</v>
      </c>
      <c r="AM101">
        <f t="shared" si="334"/>
        <v>-3288587248.951406</v>
      </c>
      <c r="AN101">
        <f t="shared" si="335"/>
        <v>-3329030184.1570425</v>
      </c>
      <c r="AO101">
        <f t="shared" si="336"/>
        <v>-3345768143.4376678</v>
      </c>
      <c r="AP101">
        <f t="shared" si="337"/>
        <v>-3339717258.1483622</v>
      </c>
      <c r="AQ101">
        <f t="shared" si="338"/>
        <v>-3311724000</v>
      </c>
      <c r="AR101" s="2"/>
      <c r="AS101" s="2"/>
      <c r="AT101" s="2"/>
      <c r="AU101" s="2"/>
      <c r="AV101" s="2"/>
      <c r="AW101" s="2"/>
      <c r="AX101" s="2"/>
      <c r="AZ101" s="11"/>
      <c r="BA101" s="2"/>
      <c r="BB101" s="2"/>
      <c r="BC101" s="2"/>
      <c r="BD101" s="2"/>
      <c r="BE101" s="2"/>
      <c r="BF101" s="2"/>
      <c r="BG101" s="2"/>
      <c r="BH101">
        <f t="shared" ref="BA101:BH127" si="429">$C$20/($C$21-$C$22*BH100)</f>
        <v>0.57599857830696288</v>
      </c>
      <c r="BI101">
        <f t="shared" ref="BI101:BI127" si="430">$C$20/($C$21-$C$22*BI100)</f>
        <v>0.57599857830696288</v>
      </c>
      <c r="BJ101">
        <f t="shared" ref="BJ101:BJ127" si="431">$C$20/($C$21-$C$22*BJ100)</f>
        <v>0.57599857830696288</v>
      </c>
      <c r="BK101">
        <f t="shared" ref="BK101:BK127" si="432">$C$20/($C$21-$C$22*BK100)</f>
        <v>0.57599857830696288</v>
      </c>
      <c r="BL101">
        <f t="shared" ref="BL101:BL127" si="433">$C$20/($C$21-$C$22*BL100)</f>
        <v>0.57599857830696288</v>
      </c>
      <c r="BM101">
        <f t="shared" ref="BM101:BM127" si="434">$C$20/($C$21-$C$22*BM100)</f>
        <v>0.57599857830696288</v>
      </c>
      <c r="BN101">
        <f t="shared" ref="BN101:BU127" si="435">$C$20/($C$21-$C$22*BN100)</f>
        <v>0.57599857830696288</v>
      </c>
      <c r="BO101" s="2"/>
      <c r="BP101" s="2"/>
      <c r="BQ101" s="2"/>
      <c r="BR101" s="2"/>
      <c r="BS101" s="2"/>
      <c r="BT101" s="2"/>
      <c r="BU101" s="2"/>
    </row>
    <row r="102" spans="1:73" x14ac:dyDescent="0.3">
      <c r="A102" s="4"/>
      <c r="C102" s="11"/>
      <c r="D102">
        <v>26</v>
      </c>
      <c r="E102">
        <f t="shared" si="327"/>
        <v>5.0000000000000031E-2</v>
      </c>
      <c r="F102" s="2"/>
      <c r="G102" s="2"/>
      <c r="H102" s="2"/>
      <c r="I102" s="2"/>
      <c r="J102" s="2"/>
      <c r="K102" s="2"/>
      <c r="L102" s="2"/>
      <c r="M102" s="2">
        <f t="shared" ref="F102:M127" si="436">BH102*M101+BH140</f>
        <v>940.76393878812382</v>
      </c>
      <c r="N102" s="2">
        <f t="shared" ref="N102:N127" si="437">BI102*N101+BI140</f>
        <v>962.16993585734303</v>
      </c>
      <c r="O102" s="2">
        <f t="shared" ref="O102:O127" si="438">BJ102*O101+BJ140</f>
        <v>976.9947897827592</v>
      </c>
      <c r="P102" s="2">
        <f t="shared" ref="P102:P127" si="439">BK102*P101+BK140</f>
        <v>985.52367566579085</v>
      </c>
      <c r="Q102" s="2">
        <f t="shared" ref="Q102:Q127" si="440">BL102*Q101+BL140</f>
        <v>987.96533801195005</v>
      </c>
      <c r="R102" s="2">
        <f t="shared" ref="R102:R127" si="441">BM102*R101+BM140</f>
        <v>984.45454737750049</v>
      </c>
      <c r="S102" s="2">
        <f t="shared" ref="S102:Z127" si="442">BN102*S101+BN140</f>
        <v>975.05866709688667</v>
      </c>
      <c r="T102" s="2"/>
      <c r="U102" s="2"/>
      <c r="V102" s="2"/>
      <c r="W102" s="2"/>
      <c r="X102" s="2"/>
      <c r="Y102" s="2"/>
      <c r="Z102" s="2"/>
      <c r="AC102" s="11"/>
      <c r="AD102" s="2"/>
      <c r="AE102" s="2"/>
      <c r="AF102" s="2"/>
      <c r="AG102" s="2"/>
      <c r="AH102" s="2"/>
      <c r="AI102" s="2"/>
      <c r="AJ102" s="2"/>
      <c r="AK102">
        <f t="shared" si="332"/>
        <v>-3132324000</v>
      </c>
      <c r="AL102">
        <f t="shared" si="333"/>
        <v>-3208151117.0106468</v>
      </c>
      <c r="AM102">
        <f t="shared" si="334"/>
        <v>-3264937294.2193446</v>
      </c>
      <c r="AN102">
        <f t="shared" si="335"/>
        <v>-3302962910.5293894</v>
      </c>
      <c r="AO102">
        <f t="shared" si="336"/>
        <v>-3322807035.8941951</v>
      </c>
      <c r="AP102">
        <f t="shared" si="337"/>
        <v>-3325334178.7013726</v>
      </c>
      <c r="AQ102">
        <f t="shared" si="338"/>
        <v>-3311724000</v>
      </c>
      <c r="AR102" s="2"/>
      <c r="AS102" s="2"/>
      <c r="AT102" s="2"/>
      <c r="AU102" s="2"/>
      <c r="AV102" s="2"/>
      <c r="AW102" s="2"/>
      <c r="AX102" s="2"/>
      <c r="AZ102" s="11"/>
      <c r="BA102" s="2"/>
      <c r="BB102" s="2"/>
      <c r="BC102" s="2"/>
      <c r="BD102" s="2"/>
      <c r="BE102" s="2"/>
      <c r="BF102" s="2"/>
      <c r="BG102" s="2"/>
      <c r="BH102">
        <f t="shared" si="429"/>
        <v>0.57603639461582301</v>
      </c>
      <c r="BI102">
        <f t="shared" si="430"/>
        <v>0.57603639461582301</v>
      </c>
      <c r="BJ102">
        <f t="shared" si="431"/>
        <v>0.57603639461582301</v>
      </c>
      <c r="BK102">
        <f t="shared" si="432"/>
        <v>0.57603639461582301</v>
      </c>
      <c r="BL102">
        <f t="shared" si="433"/>
        <v>0.57603639461582301</v>
      </c>
      <c r="BM102">
        <f t="shared" si="434"/>
        <v>0.57603639461582301</v>
      </c>
      <c r="BN102">
        <f t="shared" si="435"/>
        <v>0.57603639461582301</v>
      </c>
      <c r="BO102" s="2"/>
      <c r="BP102" s="2"/>
      <c r="BQ102" s="2"/>
      <c r="BR102" s="2"/>
      <c r="BS102" s="2"/>
      <c r="BT102" s="2"/>
      <c r="BU102" s="2"/>
    </row>
    <row r="103" spans="1:73" x14ac:dyDescent="0.3">
      <c r="A103" s="4"/>
      <c r="C103" s="11"/>
      <c r="D103">
        <v>25</v>
      </c>
      <c r="E103">
        <f t="shared" si="327"/>
        <v>4.8000000000000029E-2</v>
      </c>
      <c r="F103" s="2"/>
      <c r="G103" s="2"/>
      <c r="H103" s="2"/>
      <c r="I103" s="2"/>
      <c r="J103" s="2"/>
      <c r="K103" s="2"/>
      <c r="L103" s="2"/>
      <c r="M103" s="2">
        <f t="shared" si="436"/>
        <v>918.81139679547573</v>
      </c>
      <c r="N103" s="2">
        <f t="shared" si="437"/>
        <v>939.78991260871578</v>
      </c>
      <c r="O103" s="2">
        <f t="shared" si="438"/>
        <v>954.73497008998697</v>
      </c>
      <c r="P103" s="2">
        <f t="shared" si="439"/>
        <v>963.8509538960343</v>
      </c>
      <c r="Q103" s="2">
        <f t="shared" si="440"/>
        <v>967.32167414634512</v>
      </c>
      <c r="R103" s="2">
        <f t="shared" si="441"/>
        <v>965.31042159973322</v>
      </c>
      <c r="S103" s="2">
        <f t="shared" si="442"/>
        <v>957.96650001446847</v>
      </c>
      <c r="T103" s="2"/>
      <c r="U103" s="2"/>
      <c r="V103" s="2"/>
      <c r="W103" s="2"/>
      <c r="X103" s="2"/>
      <c r="Y103" s="2"/>
      <c r="Z103" s="2"/>
      <c r="AC103" s="11"/>
      <c r="AD103" s="2"/>
      <c r="AE103" s="2"/>
      <c r="AF103" s="2"/>
      <c r="AG103" s="2"/>
      <c r="AH103" s="2"/>
      <c r="AI103" s="2"/>
      <c r="AJ103" s="2"/>
      <c r="AK103">
        <f t="shared" si="332"/>
        <v>-3132324000</v>
      </c>
      <c r="AL103">
        <f t="shared" si="333"/>
        <v>-3196112474.220778</v>
      </c>
      <c r="AM103">
        <f t="shared" si="334"/>
        <v>-3246184357.3284516</v>
      </c>
      <c r="AN103">
        <f t="shared" si="335"/>
        <v>-3282262672.6384811</v>
      </c>
      <c r="AO103">
        <f t="shared" si="336"/>
        <v>-3304610293.0531516</v>
      </c>
      <c r="AP103">
        <f t="shared" si="337"/>
        <v>-3313999003.3126755</v>
      </c>
      <c r="AQ103">
        <f t="shared" si="338"/>
        <v>-3311724000</v>
      </c>
      <c r="AR103" s="2"/>
      <c r="AS103" s="2"/>
      <c r="AT103" s="2"/>
      <c r="AU103" s="2"/>
      <c r="AV103" s="2"/>
      <c r="AW103" s="2"/>
      <c r="AX103" s="2"/>
      <c r="AZ103" s="11"/>
      <c r="BA103" s="2"/>
      <c r="BB103" s="2"/>
      <c r="BC103" s="2"/>
      <c r="BD103" s="2"/>
      <c r="BE103" s="2"/>
      <c r="BF103" s="2"/>
      <c r="BG103" s="2"/>
      <c r="BH103">
        <f t="shared" si="429"/>
        <v>0.57604894301841969</v>
      </c>
      <c r="BI103">
        <f t="shared" si="430"/>
        <v>0.57604894301841969</v>
      </c>
      <c r="BJ103">
        <f t="shared" si="431"/>
        <v>0.57604894301841969</v>
      </c>
      <c r="BK103">
        <f t="shared" si="432"/>
        <v>0.57604894301841969</v>
      </c>
      <c r="BL103">
        <f t="shared" si="433"/>
        <v>0.57604894301841969</v>
      </c>
      <c r="BM103">
        <f t="shared" si="434"/>
        <v>0.57604894301841969</v>
      </c>
      <c r="BN103">
        <f t="shared" si="435"/>
        <v>0.57604894301841969</v>
      </c>
      <c r="BO103" s="2"/>
      <c r="BP103" s="2"/>
      <c r="BQ103" s="2"/>
      <c r="BR103" s="2"/>
      <c r="BS103" s="2"/>
      <c r="BT103" s="2"/>
      <c r="BU103" s="2"/>
    </row>
    <row r="104" spans="1:73" x14ac:dyDescent="0.3">
      <c r="A104" s="4"/>
      <c r="C104" s="11"/>
      <c r="D104">
        <v>24</v>
      </c>
      <c r="E104">
        <f t="shared" si="327"/>
        <v>4.6000000000000027E-2</v>
      </c>
      <c r="F104" s="2"/>
      <c r="G104" s="2"/>
      <c r="H104" s="2"/>
      <c r="I104" s="2"/>
      <c r="J104" s="2"/>
      <c r="K104" s="2"/>
      <c r="L104" s="2"/>
      <c r="M104" s="2">
        <f t="shared" si="436"/>
        <v>903.29316297011576</v>
      </c>
      <c r="N104" s="2">
        <f t="shared" si="437"/>
        <v>923.09645051751863</v>
      </c>
      <c r="O104" s="2">
        <f t="shared" si="438"/>
        <v>937.64360284896406</v>
      </c>
      <c r="P104" s="2">
        <f t="shared" si="439"/>
        <v>947.04689209962567</v>
      </c>
      <c r="Q104" s="2">
        <f t="shared" si="440"/>
        <v>951.45200457959436</v>
      </c>
      <c r="R104" s="2">
        <f t="shared" si="441"/>
        <v>951.03549531589329</v>
      </c>
      <c r="S104" s="2">
        <f t="shared" si="442"/>
        <v>946.01024542839468</v>
      </c>
      <c r="T104" s="2"/>
      <c r="U104" s="2"/>
      <c r="V104" s="2"/>
      <c r="W104" s="2"/>
      <c r="X104" s="2"/>
      <c r="Y104" s="2"/>
      <c r="Z104" s="2"/>
      <c r="AC104" s="11"/>
      <c r="AD104" s="2"/>
      <c r="AE104" s="2"/>
      <c r="AF104" s="2"/>
      <c r="AG104" s="2"/>
      <c r="AH104" s="2"/>
      <c r="AI104" s="2"/>
      <c r="AJ104" s="2"/>
      <c r="AK104">
        <f t="shared" si="332"/>
        <v>-3132324000</v>
      </c>
      <c r="AL104">
        <f t="shared" si="333"/>
        <v>-3186965195.5549183</v>
      </c>
      <c r="AM104">
        <f t="shared" si="334"/>
        <v>-3231848211.3354855</v>
      </c>
      <c r="AN104">
        <f t="shared" si="335"/>
        <v>-3266402698.3324986</v>
      </c>
      <c r="AO104">
        <f t="shared" si="336"/>
        <v>-3290692264.388876</v>
      </c>
      <c r="AP104">
        <f t="shared" si="337"/>
        <v>-3305378663.2579226</v>
      </c>
      <c r="AQ104">
        <f t="shared" si="338"/>
        <v>-3311724000</v>
      </c>
      <c r="AR104" s="2"/>
      <c r="AS104" s="2"/>
      <c r="AT104" s="2"/>
      <c r="AU104" s="2"/>
      <c r="AV104" s="2"/>
      <c r="AW104" s="2"/>
      <c r="AX104" s="2"/>
      <c r="AZ104" s="11"/>
      <c r="BA104" s="2"/>
      <c r="BB104" s="2"/>
      <c r="BC104" s="2"/>
      <c r="BD104" s="2"/>
      <c r="BE104" s="2"/>
      <c r="BF104" s="2"/>
      <c r="BG104" s="2"/>
      <c r="BH104">
        <f t="shared" si="429"/>
        <v>0.57605310701487744</v>
      </c>
      <c r="BI104">
        <f t="shared" si="430"/>
        <v>0.57605310701487744</v>
      </c>
      <c r="BJ104">
        <f t="shared" si="431"/>
        <v>0.57605310701487744</v>
      </c>
      <c r="BK104">
        <f t="shared" si="432"/>
        <v>0.57605310701487744</v>
      </c>
      <c r="BL104">
        <f t="shared" si="433"/>
        <v>0.57605310701487744</v>
      </c>
      <c r="BM104">
        <f t="shared" si="434"/>
        <v>0.57605310701487744</v>
      </c>
      <c r="BN104">
        <f t="shared" si="435"/>
        <v>0.57605310701487744</v>
      </c>
      <c r="BO104" s="2"/>
      <c r="BP104" s="2"/>
      <c r="BQ104" s="2"/>
      <c r="BR104" s="2"/>
      <c r="BS104" s="2"/>
      <c r="BT104" s="2"/>
      <c r="BU104" s="2"/>
    </row>
    <row r="105" spans="1:73" x14ac:dyDescent="0.3">
      <c r="A105" s="4"/>
      <c r="C105" s="11"/>
      <c r="D105">
        <v>23</v>
      </c>
      <c r="E105">
        <f t="shared" si="327"/>
        <v>4.4000000000000025E-2</v>
      </c>
      <c r="F105" s="2"/>
      <c r="G105" s="2"/>
      <c r="H105" s="2"/>
      <c r="I105" s="2"/>
      <c r="J105" s="2"/>
      <c r="K105" s="2"/>
      <c r="L105" s="2"/>
      <c r="M105" s="2">
        <f t="shared" si="436"/>
        <v>892.69906373155368</v>
      </c>
      <c r="N105" s="2">
        <f t="shared" si="437"/>
        <v>910.94969143866797</v>
      </c>
      <c r="O105" s="2">
        <f t="shared" si="438"/>
        <v>924.80172864859583</v>
      </c>
      <c r="P105" s="2">
        <f t="shared" si="439"/>
        <v>934.28252737162052</v>
      </c>
      <c r="Q105" s="2">
        <f t="shared" si="440"/>
        <v>939.49646164844012</v>
      </c>
      <c r="R105" s="2">
        <f t="shared" si="441"/>
        <v>940.62032016184969</v>
      </c>
      <c r="S105" s="2">
        <f t="shared" si="442"/>
        <v>937.90709766905354</v>
      </c>
      <c r="T105" s="2"/>
      <c r="U105" s="2"/>
      <c r="V105" s="2"/>
      <c r="W105" s="2"/>
      <c r="X105" s="2"/>
      <c r="Y105" s="2"/>
      <c r="Z105" s="2"/>
      <c r="AC105" s="11"/>
      <c r="AD105" s="2"/>
      <c r="AE105" s="2"/>
      <c r="AF105" s="2"/>
      <c r="AG105" s="2"/>
      <c r="AH105" s="2"/>
      <c r="AI105" s="2"/>
      <c r="AJ105" s="2"/>
      <c r="AK105">
        <f t="shared" si="332"/>
        <v>-3132324000</v>
      </c>
      <c r="AL105">
        <f t="shared" si="333"/>
        <v>-3180167272.7063971</v>
      </c>
      <c r="AM105">
        <f t="shared" si="334"/>
        <v>-3221121568.2391014</v>
      </c>
      <c r="AN105">
        <f t="shared" si="335"/>
        <v>-3254504635.1079459</v>
      </c>
      <c r="AO105">
        <f t="shared" si="336"/>
        <v>-3280267018.274879</v>
      </c>
      <c r="AP105">
        <f t="shared" si="337"/>
        <v>-3298958991.1244726</v>
      </c>
      <c r="AQ105">
        <f t="shared" si="338"/>
        <v>-3311724000</v>
      </c>
      <c r="AR105" s="2"/>
      <c r="AS105" s="2"/>
      <c r="AT105" s="2"/>
      <c r="AU105" s="2"/>
      <c r="AV105" s="2"/>
      <c r="AW105" s="2"/>
      <c r="AX105" s="2"/>
      <c r="AZ105" s="11"/>
      <c r="BA105" s="2"/>
      <c r="BB105" s="2"/>
      <c r="BC105" s="2"/>
      <c r="BD105" s="2"/>
      <c r="BE105" s="2"/>
      <c r="BF105" s="2"/>
      <c r="BG105" s="2"/>
      <c r="BH105">
        <f t="shared" si="429"/>
        <v>0.5760544887870428</v>
      </c>
      <c r="BI105">
        <f t="shared" si="430"/>
        <v>0.5760544887870428</v>
      </c>
      <c r="BJ105">
        <f t="shared" si="431"/>
        <v>0.5760544887870428</v>
      </c>
      <c r="BK105">
        <f t="shared" si="432"/>
        <v>0.5760544887870428</v>
      </c>
      <c r="BL105">
        <f t="shared" si="433"/>
        <v>0.5760544887870428</v>
      </c>
      <c r="BM105">
        <f t="shared" si="434"/>
        <v>0.5760544887870428</v>
      </c>
      <c r="BN105">
        <f t="shared" si="435"/>
        <v>0.5760544887870428</v>
      </c>
      <c r="BO105" s="2"/>
      <c r="BP105" s="2"/>
      <c r="BQ105" s="2"/>
      <c r="BR105" s="2"/>
      <c r="BS105" s="2"/>
      <c r="BT105" s="2"/>
      <c r="BU105" s="2"/>
    </row>
    <row r="106" spans="1:73" x14ac:dyDescent="0.3">
      <c r="A106" s="4"/>
      <c r="C106" s="11"/>
      <c r="D106">
        <v>22</v>
      </c>
      <c r="E106">
        <f t="shared" si="327"/>
        <v>4.2000000000000023E-2</v>
      </c>
      <c r="F106" s="2"/>
      <c r="G106" s="2"/>
      <c r="H106" s="2"/>
      <c r="I106" s="2"/>
      <c r="J106" s="2"/>
      <c r="K106" s="2"/>
      <c r="L106" s="2"/>
      <c r="M106" s="2">
        <f t="shared" si="436"/>
        <v>885.64303217632641</v>
      </c>
      <c r="N106" s="2">
        <f t="shared" si="437"/>
        <v>902.24515610664503</v>
      </c>
      <c r="O106" s="2">
        <f t="shared" si="438"/>
        <v>915.28128524884903</v>
      </c>
      <c r="P106" s="2">
        <f t="shared" si="439"/>
        <v>924.71146510373364</v>
      </c>
      <c r="Q106" s="2">
        <f t="shared" si="440"/>
        <v>930.60235676692696</v>
      </c>
      <c r="R106" s="2">
        <f t="shared" si="441"/>
        <v>933.12142978068209</v>
      </c>
      <c r="S106" s="2">
        <f t="shared" si="442"/>
        <v>932.53891701325256</v>
      </c>
      <c r="T106" s="2"/>
      <c r="U106" s="2"/>
      <c r="V106" s="2"/>
      <c r="W106" s="2"/>
      <c r="X106" s="2"/>
      <c r="Y106" s="2"/>
      <c r="Z106" s="2"/>
      <c r="AC106" s="11"/>
      <c r="AD106" s="2"/>
      <c r="AE106" s="2"/>
      <c r="AF106" s="2"/>
      <c r="AG106" s="2"/>
      <c r="AH106" s="2"/>
      <c r="AI106" s="2"/>
      <c r="AJ106" s="2"/>
      <c r="AK106">
        <f t="shared" si="332"/>
        <v>-3132324000</v>
      </c>
      <c r="AL106">
        <f t="shared" si="333"/>
        <v>-3175183347.5117626</v>
      </c>
      <c r="AM106">
        <f t="shared" si="334"/>
        <v>-3213201057.7608128</v>
      </c>
      <c r="AN106">
        <f t="shared" si="335"/>
        <v>-3245694168.9003229</v>
      </c>
      <c r="AO106">
        <f t="shared" si="336"/>
        <v>-3272557975.7442665</v>
      </c>
      <c r="AP106">
        <f t="shared" si="337"/>
        <v>-3294239206.722044</v>
      </c>
      <c r="AQ106">
        <f t="shared" si="338"/>
        <v>-3311724000</v>
      </c>
      <c r="AR106" s="2"/>
      <c r="AS106" s="2"/>
      <c r="AT106" s="2"/>
      <c r="AU106" s="2"/>
      <c r="AV106" s="2"/>
      <c r="AW106" s="2"/>
      <c r="AX106" s="2"/>
      <c r="AZ106" s="11"/>
      <c r="BA106" s="2"/>
      <c r="BB106" s="2"/>
      <c r="BC106" s="2"/>
      <c r="BD106" s="2"/>
      <c r="BE106" s="2"/>
      <c r="BF106" s="2"/>
      <c r="BG106" s="2"/>
      <c r="BH106">
        <f t="shared" si="429"/>
        <v>0.57605494731298912</v>
      </c>
      <c r="BI106">
        <f t="shared" si="430"/>
        <v>0.57605494731298912</v>
      </c>
      <c r="BJ106">
        <f t="shared" si="431"/>
        <v>0.57605494731298912</v>
      </c>
      <c r="BK106">
        <f t="shared" si="432"/>
        <v>0.57605494731298912</v>
      </c>
      <c r="BL106">
        <f t="shared" si="433"/>
        <v>0.57605494731298912</v>
      </c>
      <c r="BM106">
        <f t="shared" si="434"/>
        <v>0.57605494731298912</v>
      </c>
      <c r="BN106">
        <f t="shared" si="435"/>
        <v>0.57605494731298912</v>
      </c>
      <c r="BO106" s="2"/>
      <c r="BP106" s="2"/>
      <c r="BQ106" s="2"/>
      <c r="BR106" s="2"/>
      <c r="BS106" s="2"/>
      <c r="BT106" s="2"/>
      <c r="BU106" s="2"/>
    </row>
    <row r="107" spans="1:73" x14ac:dyDescent="0.3">
      <c r="A107" s="4"/>
      <c r="C107" s="11"/>
      <c r="D107">
        <v>21</v>
      </c>
      <c r="E107">
        <f t="shared" si="327"/>
        <v>4.0000000000000022E-2</v>
      </c>
      <c r="F107" s="2"/>
      <c r="G107" s="2"/>
      <c r="H107" s="2"/>
      <c r="I107" s="2"/>
      <c r="J107" s="2"/>
      <c r="K107" s="2"/>
      <c r="L107" s="2"/>
      <c r="M107" s="2">
        <f t="shared" si="436"/>
        <v>881.02924102412283</v>
      </c>
      <c r="N107" s="2">
        <f t="shared" si="437"/>
        <v>896.06584437057006</v>
      </c>
      <c r="O107" s="2">
        <f t="shared" si="438"/>
        <v>908.2835986349213</v>
      </c>
      <c r="P107" s="2">
        <f t="shared" si="439"/>
        <v>917.5961533469075</v>
      </c>
      <c r="Q107" s="2">
        <f t="shared" si="440"/>
        <v>924.03945842001008</v>
      </c>
      <c r="R107" s="2">
        <f t="shared" si="441"/>
        <v>927.76561379575992</v>
      </c>
      <c r="S107" s="2">
        <f t="shared" si="442"/>
        <v>929.04312138102023</v>
      </c>
      <c r="T107" s="2"/>
      <c r="U107" s="2"/>
      <c r="V107" s="2"/>
      <c r="W107" s="2"/>
      <c r="X107" s="2"/>
      <c r="Y107" s="2"/>
      <c r="Z107" s="2"/>
      <c r="AC107" s="11"/>
      <c r="AD107" s="2"/>
      <c r="AE107" s="2"/>
      <c r="AF107" s="2"/>
      <c r="AG107" s="2"/>
      <c r="AH107" s="2"/>
      <c r="AI107" s="2"/>
      <c r="AJ107" s="2"/>
      <c r="AK107">
        <f t="shared" si="332"/>
        <v>-3132324000</v>
      </c>
      <c r="AL107">
        <f t="shared" si="333"/>
        <v>-3171560087.6660986</v>
      </c>
      <c r="AM107">
        <f t="shared" si="334"/>
        <v>-3207401290.7012267</v>
      </c>
      <c r="AN107">
        <f t="shared" si="335"/>
        <v>-3239223913.3626881</v>
      </c>
      <c r="AO107">
        <f t="shared" si="336"/>
        <v>-3266903871.4061599</v>
      </c>
      <c r="AP107">
        <f t="shared" si="337"/>
        <v>-3290796952.4280543</v>
      </c>
      <c r="AQ107">
        <f t="shared" si="338"/>
        <v>-3311724000</v>
      </c>
      <c r="AR107" s="2"/>
      <c r="AS107" s="2"/>
      <c r="AT107" s="2"/>
      <c r="AU107" s="2"/>
      <c r="AV107" s="2"/>
      <c r="AW107" s="2"/>
      <c r="AX107" s="2"/>
      <c r="AZ107" s="11"/>
      <c r="BA107" s="2"/>
      <c r="BB107" s="2"/>
      <c r="BC107" s="2"/>
      <c r="BD107" s="2"/>
      <c r="BE107" s="2"/>
      <c r="BF107" s="2"/>
      <c r="BG107" s="2"/>
      <c r="BH107">
        <f t="shared" si="429"/>
        <v>0.57605509946995948</v>
      </c>
      <c r="BI107">
        <f t="shared" si="430"/>
        <v>0.57605509946995948</v>
      </c>
      <c r="BJ107">
        <f t="shared" si="431"/>
        <v>0.57605509946995948</v>
      </c>
      <c r="BK107">
        <f t="shared" si="432"/>
        <v>0.57605509946995948</v>
      </c>
      <c r="BL107">
        <f t="shared" si="433"/>
        <v>0.57605509946995948</v>
      </c>
      <c r="BM107">
        <f t="shared" si="434"/>
        <v>0.57605509946995948</v>
      </c>
      <c r="BN107">
        <f t="shared" si="435"/>
        <v>0.57605509946995948</v>
      </c>
      <c r="BO107" s="2"/>
      <c r="BP107" s="2"/>
      <c r="BQ107" s="2"/>
      <c r="BR107" s="2"/>
      <c r="BS107" s="2"/>
      <c r="BT107" s="2"/>
      <c r="BU107" s="2"/>
    </row>
    <row r="108" spans="1:73" x14ac:dyDescent="0.3">
      <c r="A108" s="4"/>
      <c r="C108" s="11"/>
      <c r="D108">
        <v>20</v>
      </c>
      <c r="E108">
        <f t="shared" si="327"/>
        <v>3.800000000000002E-2</v>
      </c>
      <c r="F108" s="2"/>
      <c r="G108" s="2"/>
      <c r="H108" s="2"/>
      <c r="I108" s="2"/>
      <c r="J108" s="2"/>
      <c r="K108" s="2"/>
      <c r="L108" s="2"/>
      <c r="M108" s="2">
        <f t="shared" si="436"/>
        <v>878.05511372373076</v>
      </c>
      <c r="N108" s="2">
        <f t="shared" si="437"/>
        <v>891.70385117063574</v>
      </c>
      <c r="O108" s="2">
        <f t="shared" si="438"/>
        <v>903.1691583901769</v>
      </c>
      <c r="P108" s="2">
        <f t="shared" si="439"/>
        <v>912.33784858241609</v>
      </c>
      <c r="Q108" s="2">
        <f t="shared" si="440"/>
        <v>919.22305916270852</v>
      </c>
      <c r="R108" s="2">
        <f t="shared" si="441"/>
        <v>923.95842825784155</v>
      </c>
      <c r="S108" s="2">
        <f t="shared" si="442"/>
        <v>926.79695287052198</v>
      </c>
      <c r="T108" s="2"/>
      <c r="U108" s="2"/>
      <c r="V108" s="2"/>
      <c r="W108" s="2"/>
      <c r="X108" s="2"/>
      <c r="Y108" s="2"/>
      <c r="Z108" s="2"/>
      <c r="AC108" s="11"/>
      <c r="AD108" s="2"/>
      <c r="AE108" s="2"/>
      <c r="AF108" s="2"/>
      <c r="AG108" s="2"/>
      <c r="AH108" s="2"/>
      <c r="AI108" s="2"/>
      <c r="AJ108" s="2"/>
      <c r="AK108">
        <f t="shared" si="332"/>
        <v>-3132324000</v>
      </c>
      <c r="AL108">
        <f t="shared" si="333"/>
        <v>-3168939857.7314973</v>
      </c>
      <c r="AM108">
        <f t="shared" si="334"/>
        <v>-3203177217.762033</v>
      </c>
      <c r="AN108">
        <f t="shared" si="335"/>
        <v>-3234497867.4342995</v>
      </c>
      <c r="AO108">
        <f t="shared" si="336"/>
        <v>-3262778831.1107717</v>
      </c>
      <c r="AP108">
        <f t="shared" si="337"/>
        <v>-3288299101.3843718</v>
      </c>
      <c r="AQ108">
        <f t="shared" si="338"/>
        <v>-3311724000</v>
      </c>
      <c r="AR108" s="2"/>
      <c r="AS108" s="2"/>
      <c r="AT108" s="2"/>
      <c r="AU108" s="2"/>
      <c r="AV108" s="2"/>
      <c r="AW108" s="2"/>
      <c r="AX108" s="2"/>
      <c r="AZ108" s="11"/>
      <c r="BA108" s="2"/>
      <c r="BB108" s="2"/>
      <c r="BC108" s="2"/>
      <c r="BD108" s="2"/>
      <c r="BE108" s="2"/>
      <c r="BF108" s="2"/>
      <c r="BG108" s="2"/>
      <c r="BH108">
        <f t="shared" si="429"/>
        <v>0.57605514996165341</v>
      </c>
      <c r="BI108">
        <f t="shared" si="430"/>
        <v>0.57605514996165341</v>
      </c>
      <c r="BJ108">
        <f t="shared" si="431"/>
        <v>0.57605514996165341</v>
      </c>
      <c r="BK108">
        <f t="shared" si="432"/>
        <v>0.57605514996165341</v>
      </c>
      <c r="BL108">
        <f t="shared" si="433"/>
        <v>0.57605514996165341</v>
      </c>
      <c r="BM108">
        <f t="shared" si="434"/>
        <v>0.57605514996165341</v>
      </c>
      <c r="BN108">
        <f t="shared" si="435"/>
        <v>0.57605514996165341</v>
      </c>
      <c r="BO108" s="2"/>
      <c r="BP108" s="2"/>
      <c r="BQ108" s="2"/>
      <c r="BR108" s="2"/>
      <c r="BS108" s="2"/>
      <c r="BT108" s="2"/>
      <c r="BU108" s="2"/>
    </row>
    <row r="109" spans="1:73" x14ac:dyDescent="0.3">
      <c r="A109" s="4"/>
      <c r="C109" s="11"/>
      <c r="D109">
        <v>19</v>
      </c>
      <c r="E109">
        <f t="shared" si="327"/>
        <v>3.6000000000000018E-2</v>
      </c>
      <c r="F109" s="2"/>
      <c r="G109" s="2"/>
      <c r="H109" s="2"/>
      <c r="I109" s="2"/>
      <c r="J109" s="2"/>
      <c r="K109" s="2"/>
      <c r="L109" s="2"/>
      <c r="M109" s="2">
        <f t="shared" si="436"/>
        <v>876.159629066045</v>
      </c>
      <c r="N109" s="2">
        <f t="shared" si="437"/>
        <v>888.63428342718828</v>
      </c>
      <c r="O109" s="2">
        <f t="shared" si="438"/>
        <v>899.44530005609136</v>
      </c>
      <c r="P109" s="2">
        <f t="shared" si="439"/>
        <v>908.46854347744443</v>
      </c>
      <c r="Q109" s="2">
        <f t="shared" si="440"/>
        <v>915.70163770784325</v>
      </c>
      <c r="R109" s="2">
        <f t="shared" si="441"/>
        <v>921.2588957703465</v>
      </c>
      <c r="S109" s="2">
        <f t="shared" si="442"/>
        <v>925.3691619855166</v>
      </c>
      <c r="T109" s="2"/>
      <c r="U109" s="2"/>
      <c r="V109" s="2"/>
      <c r="W109" s="2"/>
      <c r="X109" s="2"/>
      <c r="Y109" s="2"/>
      <c r="Z109" s="2"/>
      <c r="AC109" s="11"/>
      <c r="AD109" s="2"/>
      <c r="AE109" s="2"/>
      <c r="AF109" s="2"/>
      <c r="AG109" s="2"/>
      <c r="AH109" s="2"/>
      <c r="AI109" s="2"/>
      <c r="AJ109" s="2"/>
      <c r="AK109">
        <f t="shared" si="332"/>
        <v>-3132324000</v>
      </c>
      <c r="AL109">
        <f t="shared" si="333"/>
        <v>-3167051123.8048797</v>
      </c>
      <c r="AM109">
        <f t="shared" si="334"/>
        <v>-3200111490.1694727</v>
      </c>
      <c r="AN109">
        <f t="shared" si="335"/>
        <v>-3231058193.3123865</v>
      </c>
      <c r="AO109">
        <f t="shared" si="336"/>
        <v>-3259779795.0818949</v>
      </c>
      <c r="AP109">
        <f t="shared" si="337"/>
        <v>-3286492297.7323232</v>
      </c>
      <c r="AQ109">
        <f t="shared" si="338"/>
        <v>-3311724000</v>
      </c>
      <c r="AR109" s="2"/>
      <c r="AS109" s="2"/>
      <c r="AT109" s="2"/>
      <c r="AU109" s="2"/>
      <c r="AV109" s="2"/>
      <c r="AW109" s="2"/>
      <c r="AX109" s="2"/>
      <c r="AZ109" s="11"/>
      <c r="BA109" s="2"/>
      <c r="BB109" s="2"/>
      <c r="BC109" s="2"/>
      <c r="BD109" s="2"/>
      <c r="BE109" s="2"/>
      <c r="BF109" s="2"/>
      <c r="BG109" s="2"/>
      <c r="BH109">
        <f t="shared" si="429"/>
        <v>0.57605516671679424</v>
      </c>
      <c r="BI109">
        <f t="shared" si="430"/>
        <v>0.57605516671679424</v>
      </c>
      <c r="BJ109">
        <f t="shared" si="431"/>
        <v>0.57605516671679424</v>
      </c>
      <c r="BK109">
        <f t="shared" si="432"/>
        <v>0.57605516671679424</v>
      </c>
      <c r="BL109">
        <f t="shared" si="433"/>
        <v>0.57605516671679424</v>
      </c>
      <c r="BM109">
        <f t="shared" si="434"/>
        <v>0.57605516671679424</v>
      </c>
      <c r="BN109">
        <f t="shared" si="435"/>
        <v>0.57605516671679424</v>
      </c>
      <c r="BO109" s="2"/>
      <c r="BP109" s="2"/>
      <c r="BQ109" s="2"/>
      <c r="BR109" s="2"/>
      <c r="BS109" s="2"/>
      <c r="BT109" s="2"/>
      <c r="BU109" s="2"/>
    </row>
    <row r="110" spans="1:73" x14ac:dyDescent="0.3">
      <c r="A110" s="4"/>
      <c r="C110" s="11"/>
      <c r="D110">
        <v>18</v>
      </c>
      <c r="E110">
        <f t="shared" si="327"/>
        <v>3.4000000000000016E-2</v>
      </c>
      <c r="F110" s="2"/>
      <c r="G110" s="2"/>
      <c r="H110" s="2"/>
      <c r="I110" s="2"/>
      <c r="J110" s="2"/>
      <c r="K110" s="2"/>
      <c r="L110" s="2"/>
      <c r="M110" s="2">
        <f t="shared" si="436"/>
        <v>874.96275462668348</v>
      </c>
      <c r="N110" s="2">
        <f t="shared" si="437"/>
        <v>886.47721871249337</v>
      </c>
      <c r="O110" s="2">
        <f t="shared" si="438"/>
        <v>896.74097677273869</v>
      </c>
      <c r="P110" s="2">
        <f t="shared" si="439"/>
        <v>905.63049200405453</v>
      </c>
      <c r="Q110" s="2">
        <f t="shared" si="440"/>
        <v>913.13387608711378</v>
      </c>
      <c r="R110" s="2">
        <f t="shared" si="441"/>
        <v>919.34677282776067</v>
      </c>
      <c r="S110" s="2">
        <f t="shared" si="442"/>
        <v>924.46955686798174</v>
      </c>
      <c r="T110" s="2"/>
      <c r="U110" s="2"/>
      <c r="V110" s="2"/>
      <c r="W110" s="2"/>
      <c r="X110" s="2"/>
      <c r="Y110" s="2"/>
      <c r="Z110" s="2"/>
      <c r="AC110" s="11"/>
      <c r="AD110" s="2"/>
      <c r="AE110" s="2"/>
      <c r="AF110" s="2"/>
      <c r="AG110" s="2"/>
      <c r="AH110" s="2"/>
      <c r="AI110" s="2"/>
      <c r="AJ110" s="2"/>
      <c r="AK110">
        <f t="shared" si="332"/>
        <v>-3132324000</v>
      </c>
      <c r="AL110">
        <f t="shared" si="333"/>
        <v>-3165692301.5709343</v>
      </c>
      <c r="AM110">
        <f t="shared" si="334"/>
        <v>-3197891542.3266478</v>
      </c>
      <c r="AN110">
        <f t="shared" si="335"/>
        <v>-3228560806.660315</v>
      </c>
      <c r="AO110">
        <f t="shared" si="336"/>
        <v>-3257604441.8992639</v>
      </c>
      <c r="AP110">
        <f t="shared" si="337"/>
        <v>-3285187924.5091109</v>
      </c>
      <c r="AQ110">
        <f t="shared" si="338"/>
        <v>-3311724000</v>
      </c>
      <c r="AR110" s="2"/>
      <c r="AS110" s="2"/>
      <c r="AT110" s="2"/>
      <c r="AU110" s="2"/>
      <c r="AV110" s="2"/>
      <c r="AW110" s="2"/>
      <c r="AX110" s="2"/>
      <c r="AZ110" s="11"/>
      <c r="BA110" s="2"/>
      <c r="BB110" s="2"/>
      <c r="BC110" s="2"/>
      <c r="BD110" s="2"/>
      <c r="BE110" s="2"/>
      <c r="BF110" s="2"/>
      <c r="BG110" s="2"/>
      <c r="BH110">
        <f t="shared" si="429"/>
        <v>0.57605517227681269</v>
      </c>
      <c r="BI110">
        <f t="shared" si="430"/>
        <v>0.57605517227681269</v>
      </c>
      <c r="BJ110">
        <f t="shared" si="431"/>
        <v>0.57605517227681269</v>
      </c>
      <c r="BK110">
        <f t="shared" si="432"/>
        <v>0.57605517227681269</v>
      </c>
      <c r="BL110">
        <f t="shared" si="433"/>
        <v>0.57605517227681269</v>
      </c>
      <c r="BM110">
        <f t="shared" si="434"/>
        <v>0.57605517227681269</v>
      </c>
      <c r="BN110">
        <f t="shared" si="435"/>
        <v>0.57605517227681269</v>
      </c>
      <c r="BO110" s="2"/>
      <c r="BP110" s="2"/>
      <c r="BQ110" s="2"/>
      <c r="BR110" s="2"/>
      <c r="BS110" s="2"/>
      <c r="BT110" s="2"/>
      <c r="BU110" s="2"/>
    </row>
    <row r="111" spans="1:73" x14ac:dyDescent="0.3">
      <c r="C111" s="11"/>
      <c r="D111">
        <v>17</v>
      </c>
      <c r="E111">
        <f t="shared" si="327"/>
        <v>3.2000000000000015E-2</v>
      </c>
      <c r="F111" s="2"/>
      <c r="G111" s="2"/>
      <c r="H111" s="2"/>
      <c r="I111" s="2"/>
      <c r="J111" s="2"/>
      <c r="K111" s="2"/>
      <c r="L111" s="2">
        <f>BG111*M110+BG149</f>
        <v>782.45540794569547</v>
      </c>
      <c r="M111" s="2">
        <f t="shared" si="436"/>
        <v>875.3777115117224</v>
      </c>
      <c r="N111" s="2">
        <f t="shared" si="437"/>
        <v>885.72648110491082</v>
      </c>
      <c r="O111" s="2">
        <f t="shared" si="438"/>
        <v>895.19415948094047</v>
      </c>
      <c r="P111" s="2">
        <f t="shared" si="439"/>
        <v>903.64284256070039</v>
      </c>
      <c r="Q111" s="2">
        <f t="shared" si="440"/>
        <v>911.03487855012861</v>
      </c>
      <c r="R111" s="2">
        <f t="shared" si="441"/>
        <v>917.42840586464797</v>
      </c>
      <c r="S111" s="2">
        <f t="shared" si="442"/>
        <v>922.97292533577047</v>
      </c>
      <c r="T111" s="2">
        <f>BO111*S110+BO149</f>
        <v>825.97257093940527</v>
      </c>
      <c r="U111" s="2"/>
      <c r="V111" s="2"/>
      <c r="W111" s="2"/>
      <c r="X111" s="2"/>
      <c r="Y111" s="2"/>
      <c r="Z111" s="2"/>
      <c r="AC111" s="11"/>
      <c r="AD111" s="2"/>
      <c r="AE111" s="2"/>
      <c r="AF111" s="2"/>
      <c r="AG111" s="2"/>
      <c r="AH111" s="2"/>
      <c r="AI111" s="2"/>
      <c r="AJ111">
        <f t="shared" ref="AJ111:AJ127" si="443">(-($C$8*$C$7)/$C$4)*L72</f>
        <v>-3132324000</v>
      </c>
      <c r="AK111">
        <f t="shared" si="332"/>
        <v>-3155579155.2517624</v>
      </c>
      <c r="AL111">
        <f t="shared" si="333"/>
        <v>-3179982776.7586455</v>
      </c>
      <c r="AM111">
        <f t="shared" si="334"/>
        <v>-3204542098.9447584</v>
      </c>
      <c r="AN111">
        <f t="shared" si="335"/>
        <v>-3228523086.5995884</v>
      </c>
      <c r="AO111">
        <f t="shared" si="336"/>
        <v>-3251431774.5187783</v>
      </c>
      <c r="AP111">
        <f t="shared" si="337"/>
        <v>-3272986275.5998802</v>
      </c>
      <c r="AQ111">
        <f t="shared" si="338"/>
        <v>-3293078522.7988691</v>
      </c>
      <c r="AR111">
        <f>(-($C$8*$C$7)/$C$4)*T72</f>
        <v>-3311724000</v>
      </c>
      <c r="AS111" s="2"/>
      <c r="AT111" s="2"/>
      <c r="AU111" s="2"/>
      <c r="AV111" s="2"/>
      <c r="AW111" s="2"/>
      <c r="AX111" s="2"/>
      <c r="AZ111" s="11"/>
      <c r="BA111" s="2"/>
      <c r="BB111" s="2"/>
      <c r="BC111" s="2"/>
      <c r="BD111" s="2"/>
      <c r="BE111" s="2"/>
      <c r="BF111" s="2"/>
      <c r="BG111">
        <f>$C$20/($C$21-$C$22*BH111)</f>
        <v>0.57605517473410217</v>
      </c>
      <c r="BH111">
        <f t="shared" si="429"/>
        <v>0.57605517412184681</v>
      </c>
      <c r="BI111">
        <f t="shared" si="430"/>
        <v>0.57605517412184681</v>
      </c>
      <c r="BJ111">
        <f t="shared" si="431"/>
        <v>0.57605517412184681</v>
      </c>
      <c r="BK111">
        <f t="shared" si="432"/>
        <v>0.57605517412184681</v>
      </c>
      <c r="BL111">
        <f t="shared" si="433"/>
        <v>0.57605517412184681</v>
      </c>
      <c r="BM111">
        <f t="shared" si="434"/>
        <v>0.57605517412184681</v>
      </c>
      <c r="BN111">
        <f t="shared" si="435"/>
        <v>0.57605517412184681</v>
      </c>
      <c r="BO111">
        <f>$C$20/($C$21-$C$22*BN110)</f>
        <v>0.57605517412184681</v>
      </c>
      <c r="BP111" s="2"/>
      <c r="BQ111" s="2"/>
      <c r="BR111" s="2"/>
      <c r="BS111" s="2"/>
      <c r="BT111" s="2"/>
      <c r="BU111" s="2"/>
    </row>
    <row r="112" spans="1:73" x14ac:dyDescent="0.3">
      <c r="C112" s="11"/>
      <c r="D112">
        <v>16</v>
      </c>
      <c r="E112">
        <f t="shared" si="327"/>
        <v>3.0000000000000013E-2</v>
      </c>
      <c r="F112" s="2"/>
      <c r="G112" s="2"/>
      <c r="H112" s="2"/>
      <c r="I112" s="2"/>
      <c r="J112" s="2"/>
      <c r="K112" s="2">
        <f>BF112*L111+BF150</f>
        <v>705.63259420180066</v>
      </c>
      <c r="L112" s="2">
        <f t="shared" si="436"/>
        <v>767.67897485353592</v>
      </c>
      <c r="M112" s="2">
        <f t="shared" si="436"/>
        <v>875.83237850850981</v>
      </c>
      <c r="N112" s="2">
        <f t="shared" si="437"/>
        <v>885.04935387515206</v>
      </c>
      <c r="O112" s="2">
        <f t="shared" si="438"/>
        <v>893.6423570208251</v>
      </c>
      <c r="P112" s="2">
        <f t="shared" si="439"/>
        <v>901.45814424308674</v>
      </c>
      <c r="Q112" s="2">
        <f t="shared" si="440"/>
        <v>908.4281984212347</v>
      </c>
      <c r="R112" s="2">
        <f t="shared" si="441"/>
        <v>914.56364623393165</v>
      </c>
      <c r="S112" s="2">
        <f t="shared" si="442"/>
        <v>919.94904933775501</v>
      </c>
      <c r="T112" s="2">
        <f t="shared" si="442"/>
        <v>808.73665146060171</v>
      </c>
      <c r="U112" s="2">
        <f>BP112*T111+BP150</f>
        <v>744.36411198711926</v>
      </c>
      <c r="V112" s="2"/>
      <c r="W112" s="2"/>
      <c r="X112" s="2"/>
      <c r="Y112" s="2"/>
      <c r="Z112" s="2"/>
      <c r="AC112" s="11"/>
      <c r="AD112" s="2"/>
      <c r="AE112" s="2"/>
      <c r="AF112" s="2"/>
      <c r="AG112" s="2"/>
      <c r="AH112" s="2"/>
      <c r="AI112">
        <f t="shared" ref="AI112:AI127" si="444">(-($C$8*$C$7)/$C$4)*K73</f>
        <v>-3132324000</v>
      </c>
      <c r="AJ112">
        <f t="shared" si="443"/>
        <v>-3125290030.4434037</v>
      </c>
      <c r="AK112">
        <f t="shared" si="332"/>
        <v>-3147182974.6429825</v>
      </c>
      <c r="AL112">
        <f t="shared" si="333"/>
        <v>-3169442238.0858097</v>
      </c>
      <c r="AM112">
        <f t="shared" si="334"/>
        <v>-3191224543.7264142</v>
      </c>
      <c r="AN112">
        <f t="shared" si="335"/>
        <v>-3211824039.1724019</v>
      </c>
      <c r="AO112">
        <f t="shared" si="336"/>
        <v>-3230660127.5933905</v>
      </c>
      <c r="AP112">
        <f t="shared" si="337"/>
        <v>-3247251356.6437035</v>
      </c>
      <c r="AQ112">
        <f t="shared" si="338"/>
        <v>-3261174751.2226124</v>
      </c>
      <c r="AR112">
        <f t="shared" ref="AR111:AR127" si="445">(-($C$8*$C$7)/$C$4)*T73</f>
        <v>-3272009155.6530232</v>
      </c>
      <c r="AS112">
        <f t="shared" ref="AS112:AS127" si="446">(-($C$8*$C$7)/$C$4)*U73</f>
        <v>-3311724000</v>
      </c>
      <c r="AT112" s="2"/>
      <c r="AU112" s="2"/>
      <c r="AV112" s="2"/>
      <c r="AW112" s="2"/>
      <c r="AX112" s="2"/>
      <c r="AZ112" s="11"/>
      <c r="BA112" s="2"/>
      <c r="BB112" s="2"/>
      <c r="BC112" s="2"/>
      <c r="BD112" s="2"/>
      <c r="BE112" s="2"/>
      <c r="BF112">
        <f>$C$20/($C$21-$C$22*BG112)</f>
        <v>0.57605517500469272</v>
      </c>
      <c r="BG112">
        <f t="shared" si="429"/>
        <v>0.57605517493727265</v>
      </c>
      <c r="BH112">
        <f t="shared" si="429"/>
        <v>0.57605517473410217</v>
      </c>
      <c r="BI112">
        <f t="shared" si="430"/>
        <v>0.57605517473410217</v>
      </c>
      <c r="BJ112">
        <f t="shared" si="431"/>
        <v>0.57605517473410217</v>
      </c>
      <c r="BK112">
        <f t="shared" si="432"/>
        <v>0.57605517473410217</v>
      </c>
      <c r="BL112">
        <f t="shared" si="433"/>
        <v>0.57605517473410217</v>
      </c>
      <c r="BM112">
        <f t="shared" si="434"/>
        <v>0.57605517473410217</v>
      </c>
      <c r="BN112">
        <f t="shared" si="435"/>
        <v>0.57605517473410217</v>
      </c>
      <c r="BO112">
        <f t="shared" si="435"/>
        <v>0.57605517473410217</v>
      </c>
      <c r="BP112">
        <f>$C$20/($C$21-$C$22*BO112)</f>
        <v>0.57605517493727265</v>
      </c>
      <c r="BQ112" s="2"/>
      <c r="BR112" s="2"/>
      <c r="BS112" s="2"/>
      <c r="BT112" s="2"/>
      <c r="BU112" s="2"/>
    </row>
    <row r="113" spans="3:73" x14ac:dyDescent="0.3">
      <c r="C113" s="11"/>
      <c r="D113">
        <v>15</v>
      </c>
      <c r="E113">
        <f t="shared" si="327"/>
        <v>2.8000000000000011E-2</v>
      </c>
      <c r="F113" s="2"/>
      <c r="G113" s="2"/>
      <c r="H113" s="2"/>
      <c r="I113" s="2"/>
      <c r="J113" s="2">
        <f>BE113*K112+BE151</f>
        <v>654.77960677440694</v>
      </c>
      <c r="K113" s="2">
        <f t="shared" ref="K113" si="447">BF113*K112+BF151</f>
        <v>708.1683513345879</v>
      </c>
      <c r="L113" s="2">
        <f t="shared" si="436"/>
        <v>779.75110528548419</v>
      </c>
      <c r="M113" s="2">
        <f t="shared" si="436"/>
        <v>874.7737949264332</v>
      </c>
      <c r="N113" s="2">
        <f t="shared" si="437"/>
        <v>883.13246937412293</v>
      </c>
      <c r="O113" s="2">
        <f t="shared" si="438"/>
        <v>890.95952188723015</v>
      </c>
      <c r="P113" s="2">
        <f t="shared" si="439"/>
        <v>898.09779410346687</v>
      </c>
      <c r="Q113" s="2">
        <f t="shared" si="440"/>
        <v>904.45387447519784</v>
      </c>
      <c r="R113" s="2">
        <f t="shared" si="441"/>
        <v>909.99292916537343</v>
      </c>
      <c r="S113" s="2">
        <f t="shared" si="442"/>
        <v>914.73129433941131</v>
      </c>
      <c r="T113" s="2">
        <f t="shared" si="442"/>
        <v>818.90900314880628</v>
      </c>
      <c r="U113" s="2">
        <f t="shared" si="442"/>
        <v>745.95980639538698</v>
      </c>
      <c r="V113" s="2">
        <f>BQ113*U112+BQ151</f>
        <v>690.53398895190458</v>
      </c>
      <c r="W113" s="2"/>
      <c r="X113" s="2"/>
      <c r="Y113" s="2"/>
      <c r="Z113" s="2"/>
      <c r="AC113" s="11"/>
      <c r="AD113" s="2"/>
      <c r="AE113" s="2"/>
      <c r="AF113" s="2"/>
      <c r="AG113" s="2"/>
      <c r="AH113">
        <f t="shared" ref="AH113:AH127" si="448">(-($C$8*$C$7)/$C$4)*J74</f>
        <v>-3132324000</v>
      </c>
      <c r="AI113">
        <f t="shared" si="444"/>
        <v>-3091355057.7046003</v>
      </c>
      <c r="AJ113">
        <f t="shared" si="443"/>
        <v>-3093320982.4322567</v>
      </c>
      <c r="AK113">
        <f t="shared" si="332"/>
        <v>-3118341680.4600124</v>
      </c>
      <c r="AL113">
        <f t="shared" si="333"/>
        <v>-3141775336.2203584</v>
      </c>
      <c r="AM113">
        <f t="shared" si="334"/>
        <v>-3163110482.7969728</v>
      </c>
      <c r="AN113">
        <f t="shared" si="335"/>
        <v>-3181820751.398303</v>
      </c>
      <c r="AO113">
        <f t="shared" si="336"/>
        <v>-3197367797.5597296</v>
      </c>
      <c r="AP113">
        <f t="shared" si="337"/>
        <v>-3209185452.8046875</v>
      </c>
      <c r="AQ113">
        <f t="shared" si="338"/>
        <v>-3216645312.2404728</v>
      </c>
      <c r="AR113">
        <f t="shared" si="445"/>
        <v>-3219003147.0720091</v>
      </c>
      <c r="AS113">
        <f t="shared" si="446"/>
        <v>-3243260078.1179252</v>
      </c>
      <c r="AT113">
        <f t="shared" ref="AT113:AT127" si="449">(-($C$8*$C$7)/$C$4)*V74</f>
        <v>-3311724000</v>
      </c>
      <c r="AU113" s="2"/>
      <c r="AV113" s="2"/>
      <c r="AW113" s="2"/>
      <c r="AX113" s="2"/>
      <c r="AZ113" s="11"/>
      <c r="BA113" s="2"/>
      <c r="BB113" s="2"/>
      <c r="BC113" s="2"/>
      <c r="BD113" s="2"/>
      <c r="BE113">
        <f>$C$20/($C$21-$C$22*BF113)</f>
        <v>0.57605517503448944</v>
      </c>
      <c r="BF113">
        <f t="shared" si="429"/>
        <v>0.57605517502706538</v>
      </c>
      <c r="BG113">
        <f t="shared" si="429"/>
        <v>0.57605517500469272</v>
      </c>
      <c r="BH113">
        <f t="shared" si="429"/>
        <v>0.57605517493727265</v>
      </c>
      <c r="BI113">
        <f t="shared" si="430"/>
        <v>0.57605517493727265</v>
      </c>
      <c r="BJ113">
        <f t="shared" si="431"/>
        <v>0.57605517493727265</v>
      </c>
      <c r="BK113">
        <f t="shared" si="432"/>
        <v>0.57605517493727265</v>
      </c>
      <c r="BL113">
        <f t="shared" si="433"/>
        <v>0.57605517493727265</v>
      </c>
      <c r="BM113">
        <f t="shared" si="434"/>
        <v>0.57605517493727265</v>
      </c>
      <c r="BN113">
        <f t="shared" si="435"/>
        <v>0.57605517493727265</v>
      </c>
      <c r="BO113">
        <f t="shared" si="435"/>
        <v>0.57605517493727265</v>
      </c>
      <c r="BP113">
        <f t="shared" si="435"/>
        <v>0.57605517500469272</v>
      </c>
      <c r="BQ113">
        <f>$C$20/($C$21-$C$22*BP113)</f>
        <v>0.57605517502706538</v>
      </c>
      <c r="BR113" s="2"/>
      <c r="BS113" s="2"/>
      <c r="BT113" s="2"/>
      <c r="BU113" s="2"/>
    </row>
    <row r="114" spans="3:73" x14ac:dyDescent="0.3">
      <c r="C114" s="11"/>
      <c r="D114">
        <v>14</v>
      </c>
      <c r="E114">
        <f t="shared" si="327"/>
        <v>2.6000000000000009E-2</v>
      </c>
      <c r="F114" s="2"/>
      <c r="G114" s="2"/>
      <c r="H114" s="2"/>
      <c r="I114" s="2">
        <f>BD114*J113+BD152</f>
        <v>676.28813319654159</v>
      </c>
      <c r="J114" s="2">
        <f t="shared" ref="J114" si="450">BE114*J113+BE152</f>
        <v>796.32995848889777</v>
      </c>
      <c r="K114" s="2">
        <f t="shared" si="436"/>
        <v>829.43885914945406</v>
      </c>
      <c r="L114" s="2">
        <f t="shared" si="436"/>
        <v>870.61321122339018</v>
      </c>
      <c r="M114" s="2">
        <f t="shared" si="436"/>
        <v>928.99381196713671</v>
      </c>
      <c r="N114" s="2">
        <f t="shared" si="437"/>
        <v>923.85538244313648</v>
      </c>
      <c r="O114" s="2">
        <f t="shared" si="438"/>
        <v>920.96663774854278</v>
      </c>
      <c r="P114" s="2">
        <f t="shared" si="439"/>
        <v>919.53158318302076</v>
      </c>
      <c r="Q114" s="2">
        <f t="shared" si="440"/>
        <v>918.93434041699686</v>
      </c>
      <c r="R114" s="2">
        <f t="shared" si="441"/>
        <v>918.7020951256759</v>
      </c>
      <c r="S114" s="2">
        <f t="shared" si="442"/>
        <v>918.47178996012417</v>
      </c>
      <c r="T114" s="2">
        <f t="shared" si="442"/>
        <v>841.45065009778318</v>
      </c>
      <c r="U114" s="2">
        <f t="shared" si="442"/>
        <v>776.41746477935794</v>
      </c>
      <c r="V114" s="2">
        <f t="shared" si="442"/>
        <v>712.11920365547508</v>
      </c>
      <c r="W114" s="2">
        <f>BR114*V113+BR152</f>
        <v>658.30017864564161</v>
      </c>
      <c r="X114" s="2"/>
      <c r="Y114" s="2"/>
      <c r="Z114" s="2"/>
      <c r="AC114" s="11"/>
      <c r="AD114" s="2"/>
      <c r="AE114" s="2"/>
      <c r="AF114" s="2"/>
      <c r="AG114">
        <f t="shared" ref="AG114:AG127" si="451">(-($C$8*$C$7)/$C$4)*I75</f>
        <v>-3132324000</v>
      </c>
      <c r="AH114">
        <f t="shared" si="448"/>
        <v>-5512053090.8063936</v>
      </c>
      <c r="AI114">
        <f t="shared" si="444"/>
        <v>-4945077050.6956854</v>
      </c>
      <c r="AJ114">
        <f t="shared" si="443"/>
        <v>-4531686943.6622381</v>
      </c>
      <c r="AK114">
        <f t="shared" si="332"/>
        <v>-4228115122.4886222</v>
      </c>
      <c r="AL114">
        <f t="shared" si="333"/>
        <v>-3994344356.6767478</v>
      </c>
      <c r="AM114">
        <f t="shared" si="334"/>
        <v>-3813578587.9335952</v>
      </c>
      <c r="AN114">
        <f t="shared" si="335"/>
        <v>-3672526541.9424038</v>
      </c>
      <c r="AO114">
        <f t="shared" si="336"/>
        <v>-3560587779.226788</v>
      </c>
      <c r="AP114">
        <f t="shared" si="337"/>
        <v>-3469198223.0443993</v>
      </c>
      <c r="AQ114">
        <f t="shared" si="338"/>
        <v>-3391294485.1092215</v>
      </c>
      <c r="AR114">
        <f t="shared" si="445"/>
        <v>-3320864527.9871621</v>
      </c>
      <c r="AS114">
        <f t="shared" si="446"/>
        <v>-3273970259.3091354</v>
      </c>
      <c r="AT114">
        <f t="shared" si="449"/>
        <v>-3265154373.4942117</v>
      </c>
      <c r="AU114">
        <f t="shared" ref="AU114:AU127" si="452">(-($C$8*$C$7)/$C$4)*W75</f>
        <v>-3311724000</v>
      </c>
      <c r="AV114" s="2"/>
      <c r="AW114" s="2"/>
      <c r="AX114" s="2"/>
      <c r="AZ114" s="11"/>
      <c r="BA114" s="2"/>
      <c r="BB114" s="2"/>
      <c r="BC114" s="2"/>
      <c r="BD114">
        <f>$C$20/($C$21-$C$22*BE114)</f>
        <v>0.57605517503777059</v>
      </c>
      <c r="BE114">
        <f t="shared" si="429"/>
        <v>0.57605517503695303</v>
      </c>
      <c r="BF114">
        <f t="shared" si="429"/>
        <v>0.57605517503448944</v>
      </c>
      <c r="BG114">
        <f t="shared" si="429"/>
        <v>0.57605517502706538</v>
      </c>
      <c r="BH114">
        <f t="shared" si="429"/>
        <v>0.57605517500469272</v>
      </c>
      <c r="BI114">
        <f t="shared" si="430"/>
        <v>0.57605517500469272</v>
      </c>
      <c r="BJ114">
        <f t="shared" si="431"/>
        <v>0.57605517500469272</v>
      </c>
      <c r="BK114">
        <f t="shared" si="432"/>
        <v>0.57605517500469272</v>
      </c>
      <c r="BL114">
        <f t="shared" si="433"/>
        <v>0.57605517500469272</v>
      </c>
      <c r="BM114">
        <f t="shared" si="434"/>
        <v>0.57605517500469272</v>
      </c>
      <c r="BN114">
        <f t="shared" si="435"/>
        <v>0.57605517500469272</v>
      </c>
      <c r="BO114">
        <f t="shared" si="435"/>
        <v>0.57605517500469272</v>
      </c>
      <c r="BP114">
        <f t="shared" si="435"/>
        <v>0.57605517502706538</v>
      </c>
      <c r="BQ114">
        <f t="shared" si="435"/>
        <v>0.57605517503448944</v>
      </c>
      <c r="BR114">
        <f>$C$20/($C$21-$C$22*BQ114)</f>
        <v>0.57605517503695303</v>
      </c>
      <c r="BS114" s="2"/>
      <c r="BT114" s="2"/>
      <c r="BU114" s="2"/>
    </row>
    <row r="115" spans="3:73" x14ac:dyDescent="0.3">
      <c r="C115" s="11"/>
      <c r="D115">
        <v>13</v>
      </c>
      <c r="E115">
        <f t="shared" si="327"/>
        <v>2.4000000000000007E-2</v>
      </c>
      <c r="F115" s="2"/>
      <c r="G115" s="2"/>
      <c r="H115" s="2"/>
      <c r="I115" s="2">
        <f t="shared" si="436"/>
        <v>718.78038256696209</v>
      </c>
      <c r="J115" s="2">
        <f t="shared" si="436"/>
        <v>858.1610044254337</v>
      </c>
      <c r="K115" s="2">
        <f t="shared" si="436"/>
        <v>879.96100939336657</v>
      </c>
      <c r="L115" s="2">
        <f t="shared" si="436"/>
        <v>905.1093725806619</v>
      </c>
      <c r="M115" s="2">
        <f t="shared" si="436"/>
        <v>942.1582099224164</v>
      </c>
      <c r="N115" s="2">
        <f t="shared" si="437"/>
        <v>934.22353403009311</v>
      </c>
      <c r="O115" s="2">
        <f t="shared" si="438"/>
        <v>928.66647151727875</v>
      </c>
      <c r="P115" s="2">
        <f t="shared" si="439"/>
        <v>924.72874023523718</v>
      </c>
      <c r="Q115" s="2">
        <f t="shared" si="440"/>
        <v>921.79356155502251</v>
      </c>
      <c r="R115" s="2">
        <f t="shared" si="441"/>
        <v>919.35815292587415</v>
      </c>
      <c r="S115" s="2">
        <f t="shared" si="442"/>
        <v>917.00723173425285</v>
      </c>
      <c r="T115" s="2">
        <f t="shared" si="442"/>
        <v>859.36427838575287</v>
      </c>
      <c r="U115" s="2">
        <f t="shared" si="442"/>
        <v>808.5052514630645</v>
      </c>
      <c r="V115" s="2">
        <f t="shared" si="442"/>
        <v>753.94264994428818</v>
      </c>
      <c r="W115" s="2">
        <f t="shared" si="442"/>
        <v>695.17801606529599</v>
      </c>
      <c r="X115" s="2"/>
      <c r="Y115" s="2"/>
      <c r="Z115" s="2"/>
      <c r="AC115" s="11"/>
      <c r="AD115" s="2"/>
      <c r="AE115" s="2"/>
      <c r="AF115" s="2"/>
      <c r="AG115">
        <f t="shared" si="451"/>
        <v>-3132324000</v>
      </c>
      <c r="AH115">
        <f t="shared" si="448"/>
        <v>-3153868314.2528739</v>
      </c>
      <c r="AI115">
        <f t="shared" si="444"/>
        <v>-3181245985.674952</v>
      </c>
      <c r="AJ115">
        <f t="shared" si="443"/>
        <v>-3210491436.0468125</v>
      </c>
      <c r="AK115">
        <f t="shared" si="332"/>
        <v>-3236847688.98241</v>
      </c>
      <c r="AL115">
        <f t="shared" si="333"/>
        <v>-3252001896.3969083</v>
      </c>
      <c r="AM115">
        <f t="shared" si="334"/>
        <v>-3259356716.6025677</v>
      </c>
      <c r="AN115">
        <f t="shared" si="335"/>
        <v>-3261041047.3185163</v>
      </c>
      <c r="AO115">
        <f t="shared" si="336"/>
        <v>-3258288295.5681148</v>
      </c>
      <c r="AP115">
        <f t="shared" si="337"/>
        <v>-3251705197.5609908</v>
      </c>
      <c r="AQ115">
        <f t="shared" si="338"/>
        <v>-3241459854.8531771</v>
      </c>
      <c r="AR115">
        <f t="shared" si="445"/>
        <v>-3227411068.9218359</v>
      </c>
      <c r="AS115">
        <f t="shared" si="446"/>
        <v>-3224595221.9602475</v>
      </c>
      <c r="AT115">
        <f t="shared" si="449"/>
        <v>-3247026288.6160998</v>
      </c>
      <c r="AU115">
        <f t="shared" si="452"/>
        <v>-3311724000</v>
      </c>
      <c r="AV115" s="2"/>
      <c r="AW115" s="2"/>
      <c r="AX115" s="2"/>
      <c r="AZ115" s="11"/>
      <c r="BA115" s="2"/>
      <c r="BB115" s="2"/>
      <c r="BC115" s="2"/>
      <c r="BD115">
        <f t="shared" si="429"/>
        <v>0.57605517503804182</v>
      </c>
      <c r="BE115">
        <f t="shared" si="429"/>
        <v>0.57605517503777059</v>
      </c>
      <c r="BF115">
        <f t="shared" si="429"/>
        <v>0.57605517503695303</v>
      </c>
      <c r="BG115">
        <f t="shared" si="429"/>
        <v>0.57605517503448944</v>
      </c>
      <c r="BH115">
        <f t="shared" si="429"/>
        <v>0.57605517502706538</v>
      </c>
      <c r="BI115">
        <f t="shared" si="430"/>
        <v>0.57605517502706538</v>
      </c>
      <c r="BJ115">
        <f t="shared" si="431"/>
        <v>0.57605517502706538</v>
      </c>
      <c r="BK115">
        <f t="shared" si="432"/>
        <v>0.57605517502706538</v>
      </c>
      <c r="BL115">
        <f t="shared" si="433"/>
        <v>0.57605517502706538</v>
      </c>
      <c r="BM115">
        <f t="shared" si="434"/>
        <v>0.57605517502706538</v>
      </c>
      <c r="BN115">
        <f t="shared" si="435"/>
        <v>0.57605517502706538</v>
      </c>
      <c r="BO115">
        <f t="shared" si="435"/>
        <v>0.57605517502706538</v>
      </c>
      <c r="BP115">
        <f t="shared" si="435"/>
        <v>0.57605517503448944</v>
      </c>
      <c r="BQ115">
        <f t="shared" si="435"/>
        <v>0.57605517503695303</v>
      </c>
      <c r="BR115">
        <f t="shared" si="435"/>
        <v>0.57605517503777059</v>
      </c>
      <c r="BS115" s="2"/>
      <c r="BT115" s="2"/>
      <c r="BU115" s="2"/>
    </row>
    <row r="116" spans="3:73" x14ac:dyDescent="0.3">
      <c r="C116" s="11"/>
      <c r="D116">
        <v>12</v>
      </c>
      <c r="E116">
        <f t="shared" si="327"/>
        <v>2.2000000000000006E-2</v>
      </c>
      <c r="F116" s="2"/>
      <c r="G116" s="2"/>
      <c r="H116" s="2"/>
      <c r="I116" s="2">
        <f t="shared" si="436"/>
        <v>760.59876281965035</v>
      </c>
      <c r="J116" s="2">
        <f t="shared" si="436"/>
        <v>882.89841284368833</v>
      </c>
      <c r="K116" s="2">
        <f t="shared" si="436"/>
        <v>898.56232515964007</v>
      </c>
      <c r="L116" s="2">
        <f t="shared" si="436"/>
        <v>915.28992341864432</v>
      </c>
      <c r="M116" s="2">
        <f t="shared" si="436"/>
        <v>939.7769491999295</v>
      </c>
      <c r="N116" s="2">
        <f t="shared" si="437"/>
        <v>933.02303491308362</v>
      </c>
      <c r="O116" s="2">
        <f t="shared" si="438"/>
        <v>927.91668598828346</v>
      </c>
      <c r="P116" s="2">
        <f t="shared" si="439"/>
        <v>923.94632277628432</v>
      </c>
      <c r="Q116" s="2">
        <f t="shared" si="440"/>
        <v>920.66841120215724</v>
      </c>
      <c r="R116" s="2">
        <f t="shared" si="441"/>
        <v>917.69917428181498</v>
      </c>
      <c r="S116" s="2">
        <f t="shared" si="442"/>
        <v>914.70350802549774</v>
      </c>
      <c r="T116" s="2">
        <f t="shared" si="442"/>
        <v>873.3780694485115</v>
      </c>
      <c r="U116" s="2">
        <f t="shared" si="442"/>
        <v>836.32333602130802</v>
      </c>
      <c r="V116" s="2">
        <f t="shared" si="442"/>
        <v>795.70708750736219</v>
      </c>
      <c r="W116" s="2">
        <f t="shared" si="442"/>
        <v>748.36180782516931</v>
      </c>
      <c r="X116" s="2"/>
      <c r="Y116" s="2"/>
      <c r="Z116" s="2"/>
      <c r="AC116" s="11"/>
      <c r="AD116" s="2"/>
      <c r="AE116" s="2"/>
      <c r="AF116" s="2"/>
      <c r="AG116">
        <f t="shared" si="451"/>
        <v>-3132324000</v>
      </c>
      <c r="AH116">
        <f t="shared" si="448"/>
        <v>-3163315528.4528828</v>
      </c>
      <c r="AI116">
        <f t="shared" si="444"/>
        <v>-3193954186.7130041</v>
      </c>
      <c r="AJ116">
        <f t="shared" si="443"/>
        <v>-3222246024.9682627</v>
      </c>
      <c r="AK116">
        <f t="shared" si="332"/>
        <v>-3245716354.0434093</v>
      </c>
      <c r="AL116">
        <f t="shared" si="333"/>
        <v>-3259342822.6230536</v>
      </c>
      <c r="AM116">
        <f t="shared" si="334"/>
        <v>-3266078472.724381</v>
      </c>
      <c r="AN116">
        <f t="shared" si="335"/>
        <v>-3267877768.2907853</v>
      </c>
      <c r="AO116">
        <f t="shared" si="336"/>
        <v>-3265992216.1064086</v>
      </c>
      <c r="AP116">
        <f t="shared" si="337"/>
        <v>-3261192112.545651</v>
      </c>
      <c r="AQ116">
        <f t="shared" si="338"/>
        <v>-3253934032.0522485</v>
      </c>
      <c r="AR116">
        <f t="shared" si="445"/>
        <v>-3244490223.4888735</v>
      </c>
      <c r="AS116">
        <f t="shared" si="446"/>
        <v>-3243689572.3294921</v>
      </c>
      <c r="AT116">
        <f t="shared" si="449"/>
        <v>-3261839913.699544</v>
      </c>
      <c r="AU116">
        <f t="shared" si="452"/>
        <v>-3311724000</v>
      </c>
      <c r="AV116" s="2"/>
      <c r="AW116" s="2"/>
      <c r="AX116" s="2"/>
      <c r="AZ116" s="11"/>
      <c r="BA116" s="2"/>
      <c r="BB116" s="2"/>
      <c r="BC116" s="2"/>
      <c r="BD116">
        <f t="shared" si="429"/>
        <v>0.57605517503813175</v>
      </c>
      <c r="BE116">
        <f t="shared" si="429"/>
        <v>0.57605517503804182</v>
      </c>
      <c r="BF116">
        <f t="shared" si="429"/>
        <v>0.57605517503777059</v>
      </c>
      <c r="BG116">
        <f t="shared" si="429"/>
        <v>0.57605517503695303</v>
      </c>
      <c r="BH116">
        <f t="shared" si="429"/>
        <v>0.57605517503448944</v>
      </c>
      <c r="BI116">
        <f t="shared" si="430"/>
        <v>0.57605517503448944</v>
      </c>
      <c r="BJ116">
        <f t="shared" si="431"/>
        <v>0.57605517503448944</v>
      </c>
      <c r="BK116">
        <f t="shared" si="432"/>
        <v>0.57605517503448944</v>
      </c>
      <c r="BL116">
        <f t="shared" si="433"/>
        <v>0.57605517503448944</v>
      </c>
      <c r="BM116">
        <f t="shared" si="434"/>
        <v>0.57605517503448944</v>
      </c>
      <c r="BN116">
        <f t="shared" si="435"/>
        <v>0.57605517503448944</v>
      </c>
      <c r="BO116">
        <f t="shared" si="435"/>
        <v>0.57605517503448944</v>
      </c>
      <c r="BP116">
        <f t="shared" si="435"/>
        <v>0.57605517503695303</v>
      </c>
      <c r="BQ116">
        <f t="shared" si="435"/>
        <v>0.57605517503777059</v>
      </c>
      <c r="BR116">
        <f t="shared" si="435"/>
        <v>0.57605517503804182</v>
      </c>
      <c r="BS116" s="2"/>
      <c r="BT116" s="2"/>
      <c r="BU116" s="2"/>
    </row>
    <row r="117" spans="3:73" x14ac:dyDescent="0.3">
      <c r="C117" s="11"/>
      <c r="D117">
        <v>11</v>
      </c>
      <c r="E117">
        <f t="shared" si="327"/>
        <v>2.0000000000000004E-2</v>
      </c>
      <c r="F117" s="2"/>
      <c r="G117" s="2"/>
      <c r="H117" s="2">
        <f>BC117*I116+BC155</f>
        <v>710.32750924009474</v>
      </c>
      <c r="I117" s="2">
        <f t="shared" ref="I117" si="453">BD117*I116+BD155</f>
        <v>795.05252963683517</v>
      </c>
      <c r="J117" s="2">
        <f t="shared" si="436"/>
        <v>891.20019016596461</v>
      </c>
      <c r="K117" s="2">
        <f t="shared" si="436"/>
        <v>903.4004809742446</v>
      </c>
      <c r="L117" s="2">
        <f t="shared" si="436"/>
        <v>915.54322136959672</v>
      </c>
      <c r="M117" s="2">
        <f t="shared" si="436"/>
        <v>932.42932850242914</v>
      </c>
      <c r="N117" s="2">
        <f t="shared" si="437"/>
        <v>927.84126100422168</v>
      </c>
      <c r="O117" s="2">
        <f t="shared" si="438"/>
        <v>924.06192182054019</v>
      </c>
      <c r="P117" s="2">
        <f t="shared" si="439"/>
        <v>920.82678029304225</v>
      </c>
      <c r="Q117" s="2">
        <f t="shared" si="440"/>
        <v>917.87739271098133</v>
      </c>
      <c r="R117" s="2">
        <f t="shared" si="441"/>
        <v>914.96833923709642</v>
      </c>
      <c r="S117" s="2">
        <f t="shared" si="442"/>
        <v>911.86901823964422</v>
      </c>
      <c r="T117" s="2">
        <f t="shared" si="442"/>
        <v>882.83592828285282</v>
      </c>
      <c r="U117" s="2">
        <f t="shared" si="442"/>
        <v>856.71438538683537</v>
      </c>
      <c r="V117" s="2">
        <f t="shared" si="442"/>
        <v>828.30318987778719</v>
      </c>
      <c r="W117" s="2">
        <f t="shared" si="442"/>
        <v>794.5383344445346</v>
      </c>
      <c r="X117" s="2">
        <f>BS117*W116+BS155</f>
        <v>712.85229524616102</v>
      </c>
      <c r="Y117" s="2"/>
      <c r="Z117" s="2"/>
      <c r="AC117" s="11"/>
      <c r="AD117" s="2"/>
      <c r="AE117" s="2"/>
      <c r="AF117">
        <f t="shared" ref="AF117:AF127" si="454">(-($C$8*$C$7)/$C$4)*H78</f>
        <v>-3132324000</v>
      </c>
      <c r="AG117">
        <f t="shared" si="451"/>
        <v>-3139810015.2772131</v>
      </c>
      <c r="AH117">
        <f t="shared" si="448"/>
        <v>-3169694630.5917649</v>
      </c>
      <c r="AI117">
        <f t="shared" si="444"/>
        <v>-3197400577.0718679</v>
      </c>
      <c r="AJ117">
        <f t="shared" si="443"/>
        <v>-3221674496.3562002</v>
      </c>
      <c r="AK117">
        <f t="shared" si="332"/>
        <v>-3241011438.2509351</v>
      </c>
      <c r="AL117">
        <f t="shared" si="333"/>
        <v>-3252193870.7372403</v>
      </c>
      <c r="AM117">
        <f t="shared" si="334"/>
        <v>-3257378058.4713645</v>
      </c>
      <c r="AN117">
        <f t="shared" si="335"/>
        <v>-3258026069.0778713</v>
      </c>
      <c r="AO117">
        <f t="shared" si="336"/>
        <v>-3255093847.0325203</v>
      </c>
      <c r="AP117">
        <f t="shared" si="337"/>
        <v>-3249178106.42204</v>
      </c>
      <c r="AQ117">
        <f t="shared" si="338"/>
        <v>-3240631558.8202281</v>
      </c>
      <c r="AR117">
        <f t="shared" si="445"/>
        <v>-3229654961.8857737</v>
      </c>
      <c r="AS117">
        <f t="shared" si="446"/>
        <v>-3223517457.7454576</v>
      </c>
      <c r="AT117">
        <f t="shared" si="449"/>
        <v>-3229050800.5573859</v>
      </c>
      <c r="AU117">
        <f t="shared" si="452"/>
        <v>-3254637861.8808331</v>
      </c>
      <c r="AV117">
        <f t="shared" ref="AV117:AV127" si="455">(-($C$8*$C$7)/$C$4)*X78</f>
        <v>-3311724000</v>
      </c>
      <c r="AW117" s="2"/>
      <c r="AX117" s="2"/>
      <c r="AZ117" s="11"/>
      <c r="BA117" s="2"/>
      <c r="BB117" s="2"/>
      <c r="BC117">
        <f>$C$20/($C$21-$C$22*BD117)</f>
        <v>0.57605517503817172</v>
      </c>
      <c r="BD117">
        <f t="shared" si="429"/>
        <v>0.57605517503816173</v>
      </c>
      <c r="BE117">
        <f t="shared" si="429"/>
        <v>0.57605517503813175</v>
      </c>
      <c r="BF117">
        <f t="shared" si="429"/>
        <v>0.57605517503804182</v>
      </c>
      <c r="BG117">
        <f t="shared" si="429"/>
        <v>0.57605517503777059</v>
      </c>
      <c r="BH117">
        <f t="shared" si="429"/>
        <v>0.57605517503695303</v>
      </c>
      <c r="BI117">
        <f t="shared" si="430"/>
        <v>0.57605517503695303</v>
      </c>
      <c r="BJ117">
        <f t="shared" si="431"/>
        <v>0.57605517503695303</v>
      </c>
      <c r="BK117">
        <f t="shared" si="432"/>
        <v>0.57605517503695303</v>
      </c>
      <c r="BL117">
        <f t="shared" si="433"/>
        <v>0.57605517503695303</v>
      </c>
      <c r="BM117">
        <f t="shared" si="434"/>
        <v>0.57605517503695303</v>
      </c>
      <c r="BN117">
        <f t="shared" si="435"/>
        <v>0.57605517503695303</v>
      </c>
      <c r="BO117">
        <f t="shared" si="435"/>
        <v>0.57605517503695303</v>
      </c>
      <c r="BP117">
        <f t="shared" si="435"/>
        <v>0.57605517503777059</v>
      </c>
      <c r="BQ117">
        <f t="shared" si="435"/>
        <v>0.57605517503804182</v>
      </c>
      <c r="BR117">
        <f t="shared" si="435"/>
        <v>0.57605517503813175</v>
      </c>
      <c r="BS117">
        <f>$C$20/($C$21-$C$22*BR117)</f>
        <v>0.57605517503816173</v>
      </c>
      <c r="BT117" s="2"/>
      <c r="BU117" s="2"/>
    </row>
    <row r="118" spans="3:73" x14ac:dyDescent="0.3">
      <c r="C118" s="11"/>
      <c r="D118">
        <v>10</v>
      </c>
      <c r="E118">
        <f t="shared" si="327"/>
        <v>1.8000000000000002E-2</v>
      </c>
      <c r="F118" s="2"/>
      <c r="G118" s="2"/>
      <c r="H118" s="2">
        <f t="shared" si="436"/>
        <v>722.88251733916297</v>
      </c>
      <c r="I118" s="2">
        <f t="shared" si="436"/>
        <v>821.09097239153289</v>
      </c>
      <c r="J118" s="2">
        <f t="shared" si="436"/>
        <v>892.64989191080588</v>
      </c>
      <c r="K118" s="2">
        <f t="shared" si="436"/>
        <v>902.75600929991731</v>
      </c>
      <c r="L118" s="2">
        <f t="shared" si="436"/>
        <v>912.2763868234789</v>
      </c>
      <c r="M118" s="2">
        <f t="shared" si="436"/>
        <v>924.47118923707342</v>
      </c>
      <c r="N118" s="2">
        <f t="shared" si="437"/>
        <v>921.97336411599645</v>
      </c>
      <c r="O118" s="2">
        <f t="shared" si="438"/>
        <v>919.61924363426215</v>
      </c>
      <c r="P118" s="2">
        <f t="shared" si="439"/>
        <v>917.33066110306481</v>
      </c>
      <c r="Q118" s="2">
        <f t="shared" si="440"/>
        <v>914.99857480840137</v>
      </c>
      <c r="R118" s="2">
        <f t="shared" si="441"/>
        <v>912.49857868534491</v>
      </c>
      <c r="S118" s="2">
        <f t="shared" si="442"/>
        <v>909.70080915987535</v>
      </c>
      <c r="T118" s="2">
        <f t="shared" si="442"/>
        <v>889.67845299010673</v>
      </c>
      <c r="U118" s="2">
        <f t="shared" si="442"/>
        <v>871.78632143185382</v>
      </c>
      <c r="V118" s="2">
        <f t="shared" si="442"/>
        <v>852.87463694207941</v>
      </c>
      <c r="W118" s="2">
        <f t="shared" si="442"/>
        <v>830.75631218979606</v>
      </c>
      <c r="X118" s="2">
        <f t="shared" si="442"/>
        <v>738.83851597755393</v>
      </c>
      <c r="Y118" s="2"/>
      <c r="Z118" s="2"/>
      <c r="AC118" s="11"/>
      <c r="AD118" s="2"/>
      <c r="AE118" s="2"/>
      <c r="AF118">
        <f t="shared" si="454"/>
        <v>-3132324000</v>
      </c>
      <c r="AG118">
        <f t="shared" si="451"/>
        <v>-3144219813.0050435</v>
      </c>
      <c r="AH118">
        <f t="shared" si="448"/>
        <v>-3171570967.5270967</v>
      </c>
      <c r="AI118">
        <f t="shared" si="444"/>
        <v>-3196484088.1665382</v>
      </c>
      <c r="AJ118">
        <f t="shared" si="443"/>
        <v>-3218074059.8962569</v>
      </c>
      <c r="AK118">
        <f t="shared" si="332"/>
        <v>-3235360489.5759182</v>
      </c>
      <c r="AL118">
        <f t="shared" si="333"/>
        <v>-3246278832.5378561</v>
      </c>
      <c r="AM118">
        <f t="shared" si="334"/>
        <v>-3252379770.8627887</v>
      </c>
      <c r="AN118">
        <f t="shared" si="335"/>
        <v>-3254798011.3145599</v>
      </c>
      <c r="AO118">
        <f t="shared" si="336"/>
        <v>-3254362668.5099177</v>
      </c>
      <c r="AP118">
        <f t="shared" si="337"/>
        <v>-3251692452.7088709</v>
      </c>
      <c r="AQ118">
        <f t="shared" si="338"/>
        <v>-3247278745.9939203</v>
      </c>
      <c r="AR118">
        <f t="shared" si="445"/>
        <v>-3241560274.2117763</v>
      </c>
      <c r="AS118">
        <f t="shared" si="446"/>
        <v>-3239694533.2505283</v>
      </c>
      <c r="AT118">
        <f t="shared" si="449"/>
        <v>-3246543358.8216166</v>
      </c>
      <c r="AU118">
        <f t="shared" si="452"/>
        <v>-3267933658.9876332</v>
      </c>
      <c r="AV118">
        <f t="shared" si="455"/>
        <v>-3311724000</v>
      </c>
      <c r="AW118" s="2"/>
      <c r="AX118" s="2"/>
      <c r="AZ118" s="11"/>
      <c r="BA118" s="2"/>
      <c r="BB118" s="2"/>
      <c r="BC118">
        <f t="shared" si="429"/>
        <v>0.57605517503817505</v>
      </c>
      <c r="BD118">
        <f t="shared" si="429"/>
        <v>0.57605517503817172</v>
      </c>
      <c r="BE118">
        <f t="shared" si="429"/>
        <v>0.57605517503816173</v>
      </c>
      <c r="BF118">
        <f t="shared" si="429"/>
        <v>0.57605517503813175</v>
      </c>
      <c r="BG118">
        <f t="shared" si="429"/>
        <v>0.57605517503804182</v>
      </c>
      <c r="BH118">
        <f t="shared" si="429"/>
        <v>0.57605517503777059</v>
      </c>
      <c r="BI118">
        <f t="shared" si="430"/>
        <v>0.57605517503777059</v>
      </c>
      <c r="BJ118">
        <f t="shared" si="431"/>
        <v>0.57605517503777059</v>
      </c>
      <c r="BK118">
        <f t="shared" si="432"/>
        <v>0.57605517503777059</v>
      </c>
      <c r="BL118">
        <f t="shared" si="433"/>
        <v>0.57605517503777059</v>
      </c>
      <c r="BM118">
        <f t="shared" si="434"/>
        <v>0.57605517503777059</v>
      </c>
      <c r="BN118">
        <f t="shared" si="435"/>
        <v>0.57605517503777059</v>
      </c>
      <c r="BO118">
        <f t="shared" si="435"/>
        <v>0.57605517503777059</v>
      </c>
      <c r="BP118">
        <f t="shared" si="435"/>
        <v>0.57605517503804182</v>
      </c>
      <c r="BQ118">
        <f t="shared" si="435"/>
        <v>0.57605517503813175</v>
      </c>
      <c r="BR118">
        <f t="shared" si="435"/>
        <v>0.57605517503816173</v>
      </c>
      <c r="BS118">
        <f t="shared" si="435"/>
        <v>0.57605517503817172</v>
      </c>
      <c r="BT118" s="2"/>
      <c r="BU118" s="2"/>
    </row>
    <row r="119" spans="3:73" x14ac:dyDescent="0.3">
      <c r="C119" s="11"/>
      <c r="D119">
        <v>9</v>
      </c>
      <c r="E119">
        <f t="shared" si="327"/>
        <v>1.6E-2</v>
      </c>
      <c r="F119" s="2"/>
      <c r="G119" s="2">
        <f>BB119*H118+BB157</f>
        <v>679.92248197589731</v>
      </c>
      <c r="H119" s="2">
        <f t="shared" si="436"/>
        <v>753.26145617237637</v>
      </c>
      <c r="I119" s="2">
        <f t="shared" si="436"/>
        <v>839.1442241616835</v>
      </c>
      <c r="J119" s="2">
        <f t="shared" si="436"/>
        <v>891.01440413041519</v>
      </c>
      <c r="K119" s="2">
        <f t="shared" si="436"/>
        <v>899.799069671805</v>
      </c>
      <c r="L119" s="2">
        <f t="shared" si="436"/>
        <v>907.75548861630034</v>
      </c>
      <c r="M119" s="2">
        <f t="shared" si="436"/>
        <v>917.01440833377387</v>
      </c>
      <c r="N119" s="2">
        <f t="shared" si="437"/>
        <v>916.20067174377459</v>
      </c>
      <c r="O119" s="2">
        <f t="shared" si="438"/>
        <v>915.06666900083121</v>
      </c>
      <c r="P119" s="2">
        <f t="shared" si="439"/>
        <v>913.65130006486413</v>
      </c>
      <c r="Q119" s="2">
        <f t="shared" si="440"/>
        <v>911.94606763540105</v>
      </c>
      <c r="R119" s="2">
        <f t="shared" si="441"/>
        <v>909.9132111132933</v>
      </c>
      <c r="S119" s="2">
        <f t="shared" si="442"/>
        <v>907.49893636113052</v>
      </c>
      <c r="T119" s="2">
        <f t="shared" si="442"/>
        <v>893.7611301813979</v>
      </c>
      <c r="U119" s="2">
        <f t="shared" si="442"/>
        <v>881.59551718703244</v>
      </c>
      <c r="V119" s="2">
        <f t="shared" si="442"/>
        <v>869.25255313098171</v>
      </c>
      <c r="W119" s="2">
        <f t="shared" si="442"/>
        <v>855.40362455272134</v>
      </c>
      <c r="X119" s="2">
        <f t="shared" si="442"/>
        <v>777.67966239500697</v>
      </c>
      <c r="Y119" s="2">
        <f>BT119*X118+BT157</f>
        <v>702.44735261378867</v>
      </c>
      <c r="Z119" s="2"/>
      <c r="AC119" s="11"/>
      <c r="AD119" s="2"/>
      <c r="AE119">
        <f t="shared" ref="AE119:AE127" si="456">(-($C$8*$C$7)/$C$4)*G80</f>
        <v>-3132324000</v>
      </c>
      <c r="AF119">
        <f t="shared" si="454"/>
        <v>-3116995991.2861094</v>
      </c>
      <c r="AG119">
        <f t="shared" si="451"/>
        <v>-3133982905.7223096</v>
      </c>
      <c r="AH119">
        <f t="shared" si="448"/>
        <v>-3160574227.6540642</v>
      </c>
      <c r="AI119">
        <f t="shared" si="444"/>
        <v>-3184327484.1452818</v>
      </c>
      <c r="AJ119">
        <f t="shared" si="443"/>
        <v>-3204636917.5652013</v>
      </c>
      <c r="AK119">
        <f t="shared" si="332"/>
        <v>-3220859948.4890947</v>
      </c>
      <c r="AL119">
        <f t="shared" si="333"/>
        <v>-3231670735.0212145</v>
      </c>
      <c r="AM119">
        <f t="shared" si="334"/>
        <v>-3238140254.0880885</v>
      </c>
      <c r="AN119">
        <f t="shared" si="335"/>
        <v>-3241090494.7205853</v>
      </c>
      <c r="AO119">
        <f t="shared" si="336"/>
        <v>-3241147686.4999337</v>
      </c>
      <c r="AP119">
        <f t="shared" si="337"/>
        <v>-3238793523.5535631</v>
      </c>
      <c r="AQ119">
        <f t="shared" si="338"/>
        <v>-3234413304.5293593</v>
      </c>
      <c r="AR119">
        <f t="shared" si="445"/>
        <v>-3228341040.9326749</v>
      </c>
      <c r="AS119">
        <f t="shared" si="446"/>
        <v>-3223947813.5916519</v>
      </c>
      <c r="AT119">
        <f t="shared" si="449"/>
        <v>-3224295667.8887472</v>
      </c>
      <c r="AU119">
        <f t="shared" si="452"/>
        <v>-3232866087.7517147</v>
      </c>
      <c r="AV119">
        <f t="shared" si="455"/>
        <v>-3254203382.4774933</v>
      </c>
      <c r="AW119">
        <f t="shared" ref="AW119:AW127" si="457">(-($C$8*$C$7)/$C$4)*Y80</f>
        <v>-3311724000</v>
      </c>
      <c r="AX119" s="2"/>
      <c r="AZ119" s="11"/>
      <c r="BA119" s="2"/>
      <c r="BB119">
        <f>$C$20/($C$21-$C$22*BC119)</f>
        <v>0.57605517503817638</v>
      </c>
      <c r="BC119">
        <f t="shared" si="429"/>
        <v>0.57605517503817605</v>
      </c>
      <c r="BD119">
        <f t="shared" si="429"/>
        <v>0.57605517503817505</v>
      </c>
      <c r="BE119">
        <f t="shared" si="429"/>
        <v>0.57605517503817172</v>
      </c>
      <c r="BF119">
        <f t="shared" si="429"/>
        <v>0.57605517503816173</v>
      </c>
      <c r="BG119">
        <f t="shared" si="429"/>
        <v>0.57605517503813175</v>
      </c>
      <c r="BH119">
        <f t="shared" si="429"/>
        <v>0.57605517503804182</v>
      </c>
      <c r="BI119">
        <f t="shared" si="430"/>
        <v>0.57605517503804182</v>
      </c>
      <c r="BJ119">
        <f t="shared" si="431"/>
        <v>0.57605517503804182</v>
      </c>
      <c r="BK119">
        <f t="shared" si="432"/>
        <v>0.57605517503804182</v>
      </c>
      <c r="BL119">
        <f t="shared" si="433"/>
        <v>0.57605517503804182</v>
      </c>
      <c r="BM119">
        <f t="shared" si="434"/>
        <v>0.57605517503804182</v>
      </c>
      <c r="BN119">
        <f t="shared" si="435"/>
        <v>0.57605517503804182</v>
      </c>
      <c r="BO119">
        <f t="shared" si="435"/>
        <v>0.57605517503804182</v>
      </c>
      <c r="BP119">
        <f t="shared" si="435"/>
        <v>0.57605517503813175</v>
      </c>
      <c r="BQ119">
        <f t="shared" si="435"/>
        <v>0.57605517503816173</v>
      </c>
      <c r="BR119">
        <f t="shared" si="435"/>
        <v>0.57605517503817172</v>
      </c>
      <c r="BS119">
        <f t="shared" si="435"/>
        <v>0.57605517503817505</v>
      </c>
      <c r="BT119">
        <f>$C$20/($C$21-$C$22*BS119)</f>
        <v>0.57605517503817605</v>
      </c>
      <c r="BU119" s="2"/>
    </row>
    <row r="120" spans="3:73" x14ac:dyDescent="0.3">
      <c r="C120" s="11"/>
      <c r="D120">
        <v>8</v>
      </c>
      <c r="E120">
        <f t="shared" si="327"/>
        <v>1.4E-2</v>
      </c>
      <c r="F120" s="2">
        <f>BA120*G119+BA158</f>
        <v>642.04226267999593</v>
      </c>
      <c r="G120" s="2">
        <f t="shared" si="436"/>
        <v>698.15091326662446</v>
      </c>
      <c r="H120" s="2">
        <f t="shared" si="436"/>
        <v>782.70633550199068</v>
      </c>
      <c r="I120" s="2">
        <f t="shared" si="436"/>
        <v>850.22174497752235</v>
      </c>
      <c r="J120" s="2">
        <f t="shared" si="436"/>
        <v>887.63574114442304</v>
      </c>
      <c r="K120" s="2">
        <f t="shared" si="436"/>
        <v>895.62910278790309</v>
      </c>
      <c r="L120" s="2">
        <f t="shared" si="436"/>
        <v>902.67234136544198</v>
      </c>
      <c r="M120" s="2">
        <f t="shared" si="436"/>
        <v>910.12051571823076</v>
      </c>
      <c r="N120" s="2">
        <f t="shared" si="437"/>
        <v>910.59140211671547</v>
      </c>
      <c r="O120" s="2">
        <f t="shared" si="438"/>
        <v>910.43614972292266</v>
      </c>
      <c r="P120" s="2">
        <f t="shared" si="439"/>
        <v>909.75655502758764</v>
      </c>
      <c r="Q120" s="2">
        <f t="shared" si="440"/>
        <v>908.60348640679877</v>
      </c>
      <c r="R120" s="2">
        <f t="shared" si="441"/>
        <v>906.99382523420775</v>
      </c>
      <c r="S120" s="2">
        <f t="shared" si="442"/>
        <v>904.92367391083371</v>
      </c>
      <c r="T120" s="2">
        <f t="shared" si="442"/>
        <v>895.41558812907169</v>
      </c>
      <c r="U120" s="2">
        <f t="shared" si="442"/>
        <v>887.0121297371785</v>
      </c>
      <c r="V120" s="2">
        <f t="shared" si="442"/>
        <v>878.83533611543567</v>
      </c>
      <c r="W120" s="2">
        <f t="shared" si="442"/>
        <v>870.1767949246364</v>
      </c>
      <c r="X120" s="2">
        <f t="shared" si="442"/>
        <v>811.39663829957169</v>
      </c>
      <c r="Y120" s="2">
        <f t="shared" si="442"/>
        <v>726.13708433667068</v>
      </c>
      <c r="Z120" s="2">
        <f>BU120*Y119+BU158</f>
        <v>668.25771106972434</v>
      </c>
      <c r="AC120" s="11"/>
      <c r="AD120">
        <f t="shared" ref="AD120:AD127" si="458">(-($C$8*$C$7)/$C$4)*F81</f>
        <v>-3132324000</v>
      </c>
      <c r="AE120">
        <f t="shared" si="456"/>
        <v>-3088057234.3866544</v>
      </c>
      <c r="AF120">
        <f t="shared" si="454"/>
        <v>-3089271625.8650169</v>
      </c>
      <c r="AG120">
        <f t="shared" si="451"/>
        <v>-3112397878.2819219</v>
      </c>
      <c r="AH120">
        <f t="shared" si="448"/>
        <v>-3140344706.7684278</v>
      </c>
      <c r="AI120">
        <f t="shared" si="444"/>
        <v>-3164821133.3232279</v>
      </c>
      <c r="AJ120">
        <f t="shared" si="443"/>
        <v>-3185499265.0546069</v>
      </c>
      <c r="AK120">
        <f t="shared" si="332"/>
        <v>-3202020847.3163476</v>
      </c>
      <c r="AL120">
        <f t="shared" si="333"/>
        <v>-3213590087.6577959</v>
      </c>
      <c r="AM120">
        <f t="shared" si="334"/>
        <v>-3220977602.6745596</v>
      </c>
      <c r="AN120">
        <f t="shared" si="335"/>
        <v>-3224803068.0938821</v>
      </c>
      <c r="AO120">
        <f t="shared" si="336"/>
        <v>-3225555064.3082876</v>
      </c>
      <c r="AP120">
        <f t="shared" si="337"/>
        <v>-3223614949.4189863</v>
      </c>
      <c r="AQ120">
        <f t="shared" si="338"/>
        <v>-3219281880.6790199</v>
      </c>
      <c r="AR120">
        <f t="shared" si="445"/>
        <v>-3212797239.5566354</v>
      </c>
      <c r="AS120">
        <f t="shared" si="446"/>
        <v>-3206316194.9635148</v>
      </c>
      <c r="AT120">
        <f t="shared" si="449"/>
        <v>-3201685050.9007821</v>
      </c>
      <c r="AU120">
        <f t="shared" si="452"/>
        <v>-3200830968.3016996</v>
      </c>
      <c r="AV120">
        <f t="shared" si="455"/>
        <v>-3206110542.6953616</v>
      </c>
      <c r="AW120">
        <f t="shared" si="457"/>
        <v>-3234386030.6381907</v>
      </c>
      <c r="AX120">
        <f t="shared" ref="AX120:AX127" si="459">(-($C$8*$C$7)/$C$4)*Z81</f>
        <v>-3311724000</v>
      </c>
      <c r="AZ120" s="11"/>
      <c r="BA120">
        <f>$C$20/($C$21-$C$22*BB120)</f>
        <v>0.57605517503817649</v>
      </c>
      <c r="BB120">
        <f t="shared" si="429"/>
        <v>0.57605517503817649</v>
      </c>
      <c r="BC120">
        <f t="shared" si="429"/>
        <v>0.57605517503817638</v>
      </c>
      <c r="BD120">
        <f t="shared" si="429"/>
        <v>0.57605517503817605</v>
      </c>
      <c r="BE120">
        <f t="shared" si="429"/>
        <v>0.57605517503817505</v>
      </c>
      <c r="BF120">
        <f t="shared" si="429"/>
        <v>0.57605517503817172</v>
      </c>
      <c r="BG120">
        <f t="shared" si="429"/>
        <v>0.57605517503816173</v>
      </c>
      <c r="BH120">
        <f t="shared" si="429"/>
        <v>0.57605517503813175</v>
      </c>
      <c r="BI120">
        <f t="shared" si="430"/>
        <v>0.57605517503813175</v>
      </c>
      <c r="BJ120">
        <f t="shared" si="431"/>
        <v>0.57605517503813175</v>
      </c>
      <c r="BK120">
        <f t="shared" si="432"/>
        <v>0.57605517503813175</v>
      </c>
      <c r="BL120">
        <f t="shared" si="433"/>
        <v>0.57605517503813175</v>
      </c>
      <c r="BM120">
        <f t="shared" si="434"/>
        <v>0.57605517503813175</v>
      </c>
      <c r="BN120">
        <f t="shared" si="435"/>
        <v>0.57605517503813175</v>
      </c>
      <c r="BO120">
        <f t="shared" si="435"/>
        <v>0.57605517503813175</v>
      </c>
      <c r="BP120">
        <f t="shared" si="435"/>
        <v>0.57605517503816173</v>
      </c>
      <c r="BQ120">
        <f t="shared" si="435"/>
        <v>0.57605517503817172</v>
      </c>
      <c r="BR120">
        <f t="shared" si="435"/>
        <v>0.57605517503817505</v>
      </c>
      <c r="BS120">
        <f t="shared" si="435"/>
        <v>0.57605517503817605</v>
      </c>
      <c r="BT120">
        <f t="shared" si="435"/>
        <v>0.57605517503817638</v>
      </c>
      <c r="BU120">
        <f>$C$20/($C$21-$C$22*BT120)</f>
        <v>0.57605517503817649</v>
      </c>
    </row>
    <row r="121" spans="3:73" x14ac:dyDescent="0.3">
      <c r="C121" s="11"/>
      <c r="D121">
        <v>7</v>
      </c>
      <c r="E121">
        <f t="shared" si="327"/>
        <v>1.2E-2</v>
      </c>
      <c r="F121" s="2">
        <f t="shared" si="436"/>
        <v>670.98195993561637</v>
      </c>
      <c r="G121" s="2">
        <f t="shared" si="436"/>
        <v>733.96449112489881</v>
      </c>
      <c r="H121" s="2">
        <f t="shared" si="436"/>
        <v>807.20364660567327</v>
      </c>
      <c r="I121" s="2">
        <f t="shared" si="436"/>
        <v>857.45352925768805</v>
      </c>
      <c r="J121" s="2">
        <f t="shared" si="436"/>
        <v>884.48595729907186</v>
      </c>
      <c r="K121" s="2">
        <f t="shared" si="436"/>
        <v>891.80597102624631</v>
      </c>
      <c r="L121" s="2">
        <f t="shared" si="436"/>
        <v>898.16950814828556</v>
      </c>
      <c r="M121" s="2">
        <f t="shared" si="436"/>
        <v>904.41082793144926</v>
      </c>
      <c r="N121" s="2">
        <f t="shared" si="437"/>
        <v>905.76917367799263</v>
      </c>
      <c r="O121" s="2">
        <f t="shared" si="438"/>
        <v>906.34907129178214</v>
      </c>
      <c r="P121" s="2">
        <f t="shared" si="439"/>
        <v>906.27659526840375</v>
      </c>
      <c r="Q121" s="2">
        <f t="shared" si="440"/>
        <v>905.63297106201014</v>
      </c>
      <c r="R121" s="2">
        <f t="shared" si="441"/>
        <v>904.46848123930886</v>
      </c>
      <c r="S121" s="2">
        <f t="shared" si="442"/>
        <v>902.8140151505097</v>
      </c>
      <c r="T121" s="2">
        <f t="shared" si="442"/>
        <v>896.27950196540451</v>
      </c>
      <c r="U121" s="2">
        <f t="shared" si="442"/>
        <v>890.50837656362637</v>
      </c>
      <c r="V121" s="2">
        <f t="shared" si="442"/>
        <v>885.14073906544502</v>
      </c>
      <c r="W121" s="2">
        <f t="shared" si="442"/>
        <v>879.87320473939803</v>
      </c>
      <c r="X121" s="2">
        <f t="shared" si="442"/>
        <v>838.29430786941691</v>
      </c>
      <c r="Y121" s="2">
        <f t="shared" si="442"/>
        <v>766.22962460579811</v>
      </c>
      <c r="Z121" s="2">
        <f t="shared" si="442"/>
        <v>702.69686682077315</v>
      </c>
      <c r="AC121" s="11"/>
      <c r="AD121">
        <f t="shared" si="458"/>
        <v>-3132324000</v>
      </c>
      <c r="AE121">
        <f t="shared" si="456"/>
        <v>-3099168325.9394059</v>
      </c>
      <c r="AF121">
        <f t="shared" si="454"/>
        <v>-3102337542.9579067</v>
      </c>
      <c r="AG121">
        <f t="shared" si="451"/>
        <v>-3121581846.973474</v>
      </c>
      <c r="AH121">
        <f t="shared" si="448"/>
        <v>-3144339160.5407987</v>
      </c>
      <c r="AI121">
        <f t="shared" si="444"/>
        <v>-3164819150.6767588</v>
      </c>
      <c r="AJ121">
        <f t="shared" si="443"/>
        <v>-3182570648.2902164</v>
      </c>
      <c r="AK121">
        <f t="shared" si="332"/>
        <v>-3197197345.2418995</v>
      </c>
      <c r="AL121">
        <f t="shared" si="333"/>
        <v>-3208093403.1742439</v>
      </c>
      <c r="AM121">
        <f t="shared" si="334"/>
        <v>-3215728562.5319614</v>
      </c>
      <c r="AN121">
        <f t="shared" si="335"/>
        <v>-3220536073.2791686</v>
      </c>
      <c r="AO121">
        <f t="shared" si="336"/>
        <v>-3222911204.6839542</v>
      </c>
      <c r="AP121">
        <f t="shared" si="337"/>
        <v>-3223219344.2407899</v>
      </c>
      <c r="AQ121">
        <f t="shared" si="338"/>
        <v>-3221810425.6148496</v>
      </c>
      <c r="AR121">
        <f t="shared" si="445"/>
        <v>-3219037578.6507854</v>
      </c>
      <c r="AS121">
        <f t="shared" si="446"/>
        <v>-3216513296.2834368</v>
      </c>
      <c r="AT121">
        <f t="shared" si="449"/>
        <v>-3215655814.7275929</v>
      </c>
      <c r="AU121">
        <f t="shared" si="452"/>
        <v>-3217900458.9226894</v>
      </c>
      <c r="AV121">
        <f t="shared" si="455"/>
        <v>-3224896504.3425689</v>
      </c>
      <c r="AW121">
        <f t="shared" si="457"/>
        <v>-3248826078.9236026</v>
      </c>
      <c r="AX121">
        <f t="shared" si="459"/>
        <v>-3311724000</v>
      </c>
      <c r="AZ121" s="11"/>
      <c r="BA121">
        <f t="shared" si="429"/>
        <v>0.57605517503817649</v>
      </c>
      <c r="BB121">
        <f t="shared" si="429"/>
        <v>0.57605517503817649</v>
      </c>
      <c r="BC121">
        <f t="shared" si="429"/>
        <v>0.57605517503817649</v>
      </c>
      <c r="BD121">
        <f t="shared" si="429"/>
        <v>0.57605517503817638</v>
      </c>
      <c r="BE121">
        <f t="shared" si="429"/>
        <v>0.57605517503817605</v>
      </c>
      <c r="BF121">
        <f t="shared" si="429"/>
        <v>0.57605517503817505</v>
      </c>
      <c r="BG121">
        <f t="shared" si="429"/>
        <v>0.57605517503817172</v>
      </c>
      <c r="BH121">
        <f t="shared" si="429"/>
        <v>0.57605517503816173</v>
      </c>
      <c r="BI121">
        <f t="shared" si="430"/>
        <v>0.57605517503816173</v>
      </c>
      <c r="BJ121">
        <f t="shared" si="431"/>
        <v>0.57605517503816173</v>
      </c>
      <c r="BK121">
        <f t="shared" si="432"/>
        <v>0.57605517503816173</v>
      </c>
      <c r="BL121">
        <f t="shared" si="433"/>
        <v>0.57605517503816173</v>
      </c>
      <c r="BM121">
        <f t="shared" si="434"/>
        <v>0.57605517503816173</v>
      </c>
      <c r="BN121">
        <f t="shared" si="435"/>
        <v>0.57605517503816173</v>
      </c>
      <c r="BO121">
        <f t="shared" si="435"/>
        <v>0.57605517503816173</v>
      </c>
      <c r="BP121">
        <f t="shared" si="435"/>
        <v>0.57605517503817172</v>
      </c>
      <c r="BQ121">
        <f t="shared" si="435"/>
        <v>0.57605517503817505</v>
      </c>
      <c r="BR121">
        <f t="shared" si="435"/>
        <v>0.57605517503817605</v>
      </c>
      <c r="BS121">
        <f t="shared" si="435"/>
        <v>0.57605517503817638</v>
      </c>
      <c r="BT121">
        <f t="shared" si="435"/>
        <v>0.57605517503817649</v>
      </c>
      <c r="BU121">
        <f t="shared" si="435"/>
        <v>0.57605517503817649</v>
      </c>
    </row>
    <row r="122" spans="3:73" x14ac:dyDescent="0.3">
      <c r="C122" s="11"/>
      <c r="D122">
        <v>6</v>
      </c>
      <c r="E122">
        <f t="shared" si="327"/>
        <v>0.01</v>
      </c>
      <c r="F122" s="2">
        <f t="shared" si="436"/>
        <v>716.89384015334076</v>
      </c>
      <c r="G122" s="2">
        <f t="shared" si="436"/>
        <v>769.68896504255326</v>
      </c>
      <c r="H122" s="2">
        <f t="shared" si="436"/>
        <v>826.21980026907886</v>
      </c>
      <c r="I122" s="2">
        <f t="shared" si="436"/>
        <v>862.50160576870064</v>
      </c>
      <c r="J122" s="2">
        <f t="shared" si="436"/>
        <v>882.15897920570524</v>
      </c>
      <c r="K122" s="2">
        <f t="shared" si="436"/>
        <v>888.80105135806707</v>
      </c>
      <c r="L122" s="2">
        <f t="shared" si="436"/>
        <v>894.56314318658519</v>
      </c>
      <c r="M122" s="2">
        <f t="shared" si="436"/>
        <v>899.93586318945938</v>
      </c>
      <c r="N122" s="2">
        <f t="shared" si="437"/>
        <v>901.85967182541185</v>
      </c>
      <c r="O122" s="2">
        <f t="shared" si="438"/>
        <v>902.96908170529025</v>
      </c>
      <c r="P122" s="2">
        <f t="shared" si="439"/>
        <v>903.39041500071016</v>
      </c>
      <c r="Q122" s="2">
        <f t="shared" si="440"/>
        <v>903.21625238454499</v>
      </c>
      <c r="R122" s="2">
        <f t="shared" si="441"/>
        <v>902.5157734961831</v>
      </c>
      <c r="S122" s="2">
        <f t="shared" si="442"/>
        <v>901.3440250066908</v>
      </c>
      <c r="T122" s="2">
        <f t="shared" si="442"/>
        <v>896.97867838697675</v>
      </c>
      <c r="U122" s="2">
        <f t="shared" si="442"/>
        <v>893.1486526510422</v>
      </c>
      <c r="V122" s="2">
        <f t="shared" si="442"/>
        <v>889.78670593488016</v>
      </c>
      <c r="W122" s="2">
        <f t="shared" si="442"/>
        <v>886.8340003833905</v>
      </c>
      <c r="X122" s="2">
        <f t="shared" si="442"/>
        <v>858.87331588887139</v>
      </c>
      <c r="Y122" s="2">
        <f t="shared" si="442"/>
        <v>805.19701559835676</v>
      </c>
      <c r="Z122" s="2">
        <f t="shared" si="442"/>
        <v>753.7200503762781</v>
      </c>
      <c r="AC122" s="11"/>
      <c r="AD122">
        <f t="shared" si="458"/>
        <v>-3132324000</v>
      </c>
      <c r="AE122">
        <f t="shared" si="456"/>
        <v>-3109393459.8954983</v>
      </c>
      <c r="AF122">
        <f t="shared" si="454"/>
        <v>-3113587377.1501756</v>
      </c>
      <c r="AG122">
        <f t="shared" si="451"/>
        <v>-3129411931.6400614</v>
      </c>
      <c r="AH122">
        <f t="shared" si="448"/>
        <v>-3147947467.4010205</v>
      </c>
      <c r="AI122">
        <f t="shared" si="444"/>
        <v>-3165138365.0628338</v>
      </c>
      <c r="AJ122">
        <f t="shared" si="443"/>
        <v>-3180466637.7622738</v>
      </c>
      <c r="AK122">
        <f t="shared" si="332"/>
        <v>-3193515288.7024016</v>
      </c>
      <c r="AL122">
        <f t="shared" si="333"/>
        <v>-3203798481.7456617</v>
      </c>
      <c r="AM122">
        <f t="shared" si="334"/>
        <v>-3211579901.1693358</v>
      </c>
      <c r="AN122">
        <f t="shared" si="335"/>
        <v>-3217156013.8018489</v>
      </c>
      <c r="AO122">
        <f t="shared" si="336"/>
        <v>-3220843840.4071479</v>
      </c>
      <c r="AP122">
        <f t="shared" si="337"/>
        <v>-3222979773.3068552</v>
      </c>
      <c r="AQ122">
        <f t="shared" si="338"/>
        <v>-3223926454.0907617</v>
      </c>
      <c r="AR122">
        <f t="shared" si="445"/>
        <v>-3224085654.0792756</v>
      </c>
      <c r="AS122">
        <f t="shared" si="446"/>
        <v>-3224691494.2378798</v>
      </c>
      <c r="AT122">
        <f t="shared" si="449"/>
        <v>-3226863116.4215078</v>
      </c>
      <c r="AU122">
        <f t="shared" si="452"/>
        <v>-3231710795.0162535</v>
      </c>
      <c r="AV122">
        <f t="shared" si="455"/>
        <v>-3240439004.9389701</v>
      </c>
      <c r="AW122">
        <f t="shared" si="457"/>
        <v>-3261553735.5690036</v>
      </c>
      <c r="AX122">
        <f t="shared" si="459"/>
        <v>-3311724000</v>
      </c>
      <c r="AZ122" s="11"/>
      <c r="BA122">
        <f t="shared" si="429"/>
        <v>0.57605517503817649</v>
      </c>
      <c r="BB122">
        <f t="shared" si="429"/>
        <v>0.57605517503817649</v>
      </c>
      <c r="BC122">
        <f t="shared" si="429"/>
        <v>0.57605517503817649</v>
      </c>
      <c r="BD122">
        <f t="shared" si="429"/>
        <v>0.57605517503817649</v>
      </c>
      <c r="BE122">
        <f t="shared" si="429"/>
        <v>0.57605517503817638</v>
      </c>
      <c r="BF122">
        <f t="shared" si="429"/>
        <v>0.57605517503817605</v>
      </c>
      <c r="BG122">
        <f t="shared" si="429"/>
        <v>0.57605517503817505</v>
      </c>
      <c r="BH122">
        <f t="shared" si="429"/>
        <v>0.57605517503817172</v>
      </c>
      <c r="BI122">
        <f t="shared" si="430"/>
        <v>0.57605517503817172</v>
      </c>
      <c r="BJ122">
        <f t="shared" si="431"/>
        <v>0.57605517503817172</v>
      </c>
      <c r="BK122">
        <f t="shared" si="432"/>
        <v>0.57605517503817172</v>
      </c>
      <c r="BL122">
        <f t="shared" si="433"/>
        <v>0.57605517503817172</v>
      </c>
      <c r="BM122">
        <f t="shared" si="434"/>
        <v>0.57605517503817172</v>
      </c>
      <c r="BN122">
        <f t="shared" si="435"/>
        <v>0.57605517503817172</v>
      </c>
      <c r="BO122">
        <f t="shared" si="435"/>
        <v>0.57605517503817172</v>
      </c>
      <c r="BP122">
        <f t="shared" si="435"/>
        <v>0.57605517503817505</v>
      </c>
      <c r="BQ122">
        <f t="shared" si="435"/>
        <v>0.57605517503817605</v>
      </c>
      <c r="BR122">
        <f t="shared" si="435"/>
        <v>0.57605517503817638</v>
      </c>
      <c r="BS122">
        <f t="shared" si="435"/>
        <v>0.57605517503817649</v>
      </c>
      <c r="BT122">
        <f t="shared" si="435"/>
        <v>0.57605517503817649</v>
      </c>
      <c r="BU122">
        <f t="shared" si="435"/>
        <v>0.57605517503817649</v>
      </c>
    </row>
    <row r="123" spans="3:73" x14ac:dyDescent="0.3">
      <c r="C123" s="11"/>
      <c r="D123">
        <v>5</v>
      </c>
      <c r="E123">
        <f t="shared" si="327"/>
        <v>8.0000000000000002E-3</v>
      </c>
      <c r="F123" s="2">
        <f t="shared" si="436"/>
        <v>760.18605600413161</v>
      </c>
      <c r="G123" s="2">
        <f t="shared" si="436"/>
        <v>799.37857637106958</v>
      </c>
      <c r="H123" s="2">
        <f t="shared" si="436"/>
        <v>840.4463942428963</v>
      </c>
      <c r="I123" s="2">
        <f t="shared" si="436"/>
        <v>866.23187476151895</v>
      </c>
      <c r="J123" s="2">
        <f t="shared" si="436"/>
        <v>880.67665004265314</v>
      </c>
      <c r="K123" s="2">
        <f t="shared" si="436"/>
        <v>886.63311021244954</v>
      </c>
      <c r="L123" s="2">
        <f t="shared" si="436"/>
        <v>891.83220321454166</v>
      </c>
      <c r="M123" s="2">
        <f t="shared" si="436"/>
        <v>896.54187015046728</v>
      </c>
      <c r="N123" s="2">
        <f t="shared" si="437"/>
        <v>898.79705079003224</v>
      </c>
      <c r="O123" s="2">
        <f t="shared" si="438"/>
        <v>900.27751569194834</v>
      </c>
      <c r="P123" s="2">
        <f t="shared" si="439"/>
        <v>901.09700032485352</v>
      </c>
      <c r="Q123" s="2">
        <f t="shared" si="440"/>
        <v>901.34790668322557</v>
      </c>
      <c r="R123" s="2">
        <f t="shared" si="441"/>
        <v>901.10829668765518</v>
      </c>
      <c r="S123" s="2">
        <f t="shared" si="442"/>
        <v>900.44881655705876</v>
      </c>
      <c r="T123" s="2">
        <f t="shared" si="442"/>
        <v>897.71012369975131</v>
      </c>
      <c r="U123" s="2">
        <f t="shared" si="442"/>
        <v>895.36355887165121</v>
      </c>
      <c r="V123" s="2">
        <f t="shared" si="442"/>
        <v>893.49575211081378</v>
      </c>
      <c r="W123" s="2">
        <f t="shared" si="442"/>
        <v>892.18327325291625</v>
      </c>
      <c r="X123" s="2">
        <f t="shared" si="442"/>
        <v>874.27047257928098</v>
      </c>
      <c r="Y123" s="2">
        <f t="shared" si="442"/>
        <v>837.29930575690366</v>
      </c>
      <c r="Z123" s="2">
        <f t="shared" si="442"/>
        <v>801.0761137917616</v>
      </c>
      <c r="AC123" s="11"/>
      <c r="AD123">
        <f t="shared" si="458"/>
        <v>-3132324000</v>
      </c>
      <c r="AE123">
        <f t="shared" si="456"/>
        <v>-3117686985.8211536</v>
      </c>
      <c r="AF123">
        <f t="shared" si="454"/>
        <v>-3122512270.6388445</v>
      </c>
      <c r="AG123">
        <f t="shared" si="451"/>
        <v>-3135682822.8879714</v>
      </c>
      <c r="AH123">
        <f t="shared" si="448"/>
        <v>-3151009517.9241023</v>
      </c>
      <c r="AI123">
        <f t="shared" si="444"/>
        <v>-3165645265.3707762</v>
      </c>
      <c r="AJ123">
        <f t="shared" si="443"/>
        <v>-3179064654.7598743</v>
      </c>
      <c r="AK123">
        <f t="shared" si="332"/>
        <v>-3190859359.4998088</v>
      </c>
      <c r="AL123">
        <f t="shared" si="333"/>
        <v>-3200631300.3329372</v>
      </c>
      <c r="AM123">
        <f t="shared" si="334"/>
        <v>-3208511544.769733</v>
      </c>
      <c r="AN123">
        <f t="shared" si="335"/>
        <v>-3214700423.0469561</v>
      </c>
      <c r="AO123">
        <f t="shared" si="336"/>
        <v>-3219451323.4229274</v>
      </c>
      <c r="AP123">
        <f t="shared" si="337"/>
        <v>-3223064596.4698925</v>
      </c>
      <c r="AQ123">
        <f t="shared" si="338"/>
        <v>-3225889135.6973157</v>
      </c>
      <c r="AR123">
        <f t="shared" si="445"/>
        <v>-3228329819.9122052</v>
      </c>
      <c r="AS123">
        <f t="shared" si="446"/>
        <v>-3231343484.0211396</v>
      </c>
      <c r="AT123">
        <f t="shared" si="449"/>
        <v>-3235821912.8436666</v>
      </c>
      <c r="AU123">
        <f t="shared" si="452"/>
        <v>-3242637155.6992588</v>
      </c>
      <c r="AV123">
        <f t="shared" si="455"/>
        <v>-3252688117.113739</v>
      </c>
      <c r="AW123">
        <f t="shared" si="457"/>
        <v>-3271771920.1251631</v>
      </c>
      <c r="AX123">
        <f t="shared" si="459"/>
        <v>-3311724000</v>
      </c>
      <c r="AZ123" s="11"/>
      <c r="BA123">
        <f t="shared" si="429"/>
        <v>0.57605517503817649</v>
      </c>
      <c r="BB123">
        <f t="shared" si="429"/>
        <v>0.57605517503817649</v>
      </c>
      <c r="BC123">
        <f t="shared" si="429"/>
        <v>0.57605517503817649</v>
      </c>
      <c r="BD123">
        <f t="shared" si="429"/>
        <v>0.57605517503817649</v>
      </c>
      <c r="BE123">
        <f t="shared" si="429"/>
        <v>0.57605517503817649</v>
      </c>
      <c r="BF123">
        <f t="shared" si="429"/>
        <v>0.57605517503817638</v>
      </c>
      <c r="BG123">
        <f t="shared" si="429"/>
        <v>0.57605517503817605</v>
      </c>
      <c r="BH123">
        <f t="shared" si="429"/>
        <v>0.57605517503817505</v>
      </c>
      <c r="BI123">
        <f t="shared" si="430"/>
        <v>0.57605517503817505</v>
      </c>
      <c r="BJ123">
        <f t="shared" si="431"/>
        <v>0.57605517503817505</v>
      </c>
      <c r="BK123">
        <f t="shared" si="432"/>
        <v>0.57605517503817505</v>
      </c>
      <c r="BL123">
        <f t="shared" si="433"/>
        <v>0.57605517503817505</v>
      </c>
      <c r="BM123">
        <f t="shared" si="434"/>
        <v>0.57605517503817505</v>
      </c>
      <c r="BN123">
        <f t="shared" si="435"/>
        <v>0.57605517503817505</v>
      </c>
      <c r="BO123">
        <f t="shared" si="435"/>
        <v>0.57605517503817505</v>
      </c>
      <c r="BP123">
        <f t="shared" si="435"/>
        <v>0.57605517503817605</v>
      </c>
      <c r="BQ123">
        <f t="shared" si="435"/>
        <v>0.57605517503817638</v>
      </c>
      <c r="BR123">
        <f t="shared" si="435"/>
        <v>0.57605517503817649</v>
      </c>
      <c r="BS123">
        <f t="shared" si="435"/>
        <v>0.57605517503817649</v>
      </c>
      <c r="BT123">
        <f t="shared" si="435"/>
        <v>0.57605517503817649</v>
      </c>
      <c r="BU123">
        <f t="shared" si="435"/>
        <v>0.57605517503817649</v>
      </c>
    </row>
    <row r="124" spans="3:73" x14ac:dyDescent="0.3">
      <c r="C124" s="11"/>
      <c r="D124">
        <v>4</v>
      </c>
      <c r="E124">
        <f t="shared" si="327"/>
        <v>6.0000000000000001E-3</v>
      </c>
      <c r="F124" s="2">
        <f t="shared" si="436"/>
        <v>794.82808761809792</v>
      </c>
      <c r="G124" s="2">
        <f t="shared" si="436"/>
        <v>822.04602055174541</v>
      </c>
      <c r="H124" s="2">
        <f t="shared" si="436"/>
        <v>850.86666451237306</v>
      </c>
      <c r="I124" s="2">
        <f t="shared" si="436"/>
        <v>869.09826537402864</v>
      </c>
      <c r="J124" s="2">
        <f t="shared" si="436"/>
        <v>879.86760917319316</v>
      </c>
      <c r="K124" s="2">
        <f t="shared" si="436"/>
        <v>885.163073694692</v>
      </c>
      <c r="L124" s="2">
        <f t="shared" si="436"/>
        <v>889.84003924076001</v>
      </c>
      <c r="M124" s="2">
        <f t="shared" si="436"/>
        <v>894.02556628940499</v>
      </c>
      <c r="N124" s="2">
        <f t="shared" si="437"/>
        <v>896.45459194754176</v>
      </c>
      <c r="O124" s="2">
        <f t="shared" si="438"/>
        <v>898.19070748024831</v>
      </c>
      <c r="P124" s="2">
        <f t="shared" si="439"/>
        <v>899.32978262019765</v>
      </c>
      <c r="Q124" s="2">
        <f t="shared" si="440"/>
        <v>899.95769494580759</v>
      </c>
      <c r="R124" s="2">
        <f t="shared" si="441"/>
        <v>900.15454285995224</v>
      </c>
      <c r="S124" s="2">
        <f t="shared" si="442"/>
        <v>899.99944811216574</v>
      </c>
      <c r="T124" s="2">
        <f t="shared" si="442"/>
        <v>898.50305309369787</v>
      </c>
      <c r="U124" s="2">
        <f t="shared" si="442"/>
        <v>897.3125923443514</v>
      </c>
      <c r="V124" s="2">
        <f t="shared" si="442"/>
        <v>896.58575843402355</v>
      </c>
      <c r="W124" s="2">
        <f t="shared" si="442"/>
        <v>896.46462016274381</v>
      </c>
      <c r="X124" s="2">
        <f t="shared" si="442"/>
        <v>885.65218370526486</v>
      </c>
      <c r="Y124" s="2">
        <f t="shared" si="442"/>
        <v>861.74554765307084</v>
      </c>
      <c r="Z124" s="2">
        <f t="shared" si="442"/>
        <v>838.70401357154424</v>
      </c>
      <c r="AC124" s="11"/>
      <c r="AD124">
        <f t="shared" si="458"/>
        <v>-3132324000</v>
      </c>
      <c r="AE124">
        <f t="shared" si="456"/>
        <v>-3124005980.9731507</v>
      </c>
      <c r="AF124">
        <f t="shared" si="454"/>
        <v>-3129299340.9665132</v>
      </c>
      <c r="AG124">
        <f t="shared" si="451"/>
        <v>-3140551101.3581734</v>
      </c>
      <c r="AH124">
        <f t="shared" si="448"/>
        <v>-3153536530.7151337</v>
      </c>
      <c r="AI124">
        <f t="shared" si="444"/>
        <v>-3166254540.8942275</v>
      </c>
      <c r="AJ124">
        <f t="shared" si="443"/>
        <v>-3178215126.8065801</v>
      </c>
      <c r="AK124">
        <f t="shared" si="332"/>
        <v>-3189042299.8677707</v>
      </c>
      <c r="AL124">
        <f t="shared" si="333"/>
        <v>-3198409201.2346296</v>
      </c>
      <c r="AM124">
        <f t="shared" si="334"/>
        <v>-3206366652.3769817</v>
      </c>
      <c r="AN124">
        <f t="shared" si="335"/>
        <v>-3213049458.2464871</v>
      </c>
      <c r="AO124">
        <f t="shared" si="336"/>
        <v>-3218660091.5759988</v>
      </c>
      <c r="AP124">
        <f t="shared" si="337"/>
        <v>-3223460451.7101245</v>
      </c>
      <c r="AQ124">
        <f t="shared" si="338"/>
        <v>-3227769876.0946832</v>
      </c>
      <c r="AR124">
        <f t="shared" si="445"/>
        <v>-3231967905.2681637</v>
      </c>
      <c r="AS124">
        <f t="shared" si="446"/>
        <v>-3236800772.6015468</v>
      </c>
      <c r="AT124">
        <f t="shared" si="449"/>
        <v>-3242978608.8539906</v>
      </c>
      <c r="AU124">
        <f t="shared" si="452"/>
        <v>-3251186699.8986654</v>
      </c>
      <c r="AV124">
        <f t="shared" si="455"/>
        <v>-3262099179.0782104</v>
      </c>
      <c r="AW124">
        <f t="shared" si="457"/>
        <v>-3279593231.4853654</v>
      </c>
      <c r="AX124">
        <f t="shared" si="459"/>
        <v>-3311724000</v>
      </c>
      <c r="AZ124" s="11"/>
      <c r="BA124">
        <f t="shared" si="429"/>
        <v>0.57605517503817649</v>
      </c>
      <c r="BB124">
        <f t="shared" si="429"/>
        <v>0.57605517503817649</v>
      </c>
      <c r="BC124">
        <f t="shared" si="429"/>
        <v>0.57605517503817649</v>
      </c>
      <c r="BD124">
        <f t="shared" si="429"/>
        <v>0.57605517503817649</v>
      </c>
      <c r="BE124">
        <f t="shared" si="429"/>
        <v>0.57605517503817649</v>
      </c>
      <c r="BF124">
        <f t="shared" si="429"/>
        <v>0.57605517503817649</v>
      </c>
      <c r="BG124">
        <f t="shared" si="429"/>
        <v>0.57605517503817638</v>
      </c>
      <c r="BH124">
        <f t="shared" si="429"/>
        <v>0.57605517503817605</v>
      </c>
      <c r="BI124">
        <f t="shared" si="430"/>
        <v>0.57605517503817605</v>
      </c>
      <c r="BJ124">
        <f t="shared" si="431"/>
        <v>0.57605517503817605</v>
      </c>
      <c r="BK124">
        <f t="shared" si="432"/>
        <v>0.57605517503817605</v>
      </c>
      <c r="BL124">
        <f t="shared" si="433"/>
        <v>0.57605517503817605</v>
      </c>
      <c r="BM124">
        <f t="shared" si="434"/>
        <v>0.57605517503817605</v>
      </c>
      <c r="BN124">
        <f t="shared" si="435"/>
        <v>0.57605517503817605</v>
      </c>
      <c r="BO124">
        <f t="shared" si="435"/>
        <v>0.57605517503817605</v>
      </c>
      <c r="BP124">
        <f t="shared" si="435"/>
        <v>0.57605517503817638</v>
      </c>
      <c r="BQ124">
        <f t="shared" si="435"/>
        <v>0.57605517503817649</v>
      </c>
      <c r="BR124">
        <f t="shared" si="435"/>
        <v>0.57605517503817649</v>
      </c>
      <c r="BS124">
        <f t="shared" si="435"/>
        <v>0.57605517503817649</v>
      </c>
      <c r="BT124">
        <f t="shared" si="435"/>
        <v>0.57605517503817649</v>
      </c>
      <c r="BU124">
        <f t="shared" si="435"/>
        <v>0.57605517503817649</v>
      </c>
    </row>
    <row r="125" spans="3:73" x14ac:dyDescent="0.3">
      <c r="C125" s="11"/>
      <c r="D125">
        <v>3</v>
      </c>
      <c r="E125">
        <f t="shared" si="327"/>
        <v>4.0000000000000001E-3</v>
      </c>
      <c r="F125" s="2">
        <f t="shared" si="436"/>
        <v>820.3734607259039</v>
      </c>
      <c r="G125" s="2">
        <f t="shared" si="436"/>
        <v>838.54209753236546</v>
      </c>
      <c r="H125" s="2">
        <f t="shared" si="436"/>
        <v>858.40366141998288</v>
      </c>
      <c r="I125" s="2">
        <f t="shared" si="436"/>
        <v>871.34927592354848</v>
      </c>
      <c r="J125" s="2">
        <f t="shared" si="436"/>
        <v>879.53067151726032</v>
      </c>
      <c r="K125" s="2">
        <f t="shared" si="436"/>
        <v>884.22169608062188</v>
      </c>
      <c r="L125" s="2">
        <f t="shared" si="436"/>
        <v>888.4292852385347</v>
      </c>
      <c r="M125" s="2">
        <f t="shared" si="436"/>
        <v>892.19439647541549</v>
      </c>
      <c r="N125" s="2">
        <f t="shared" si="437"/>
        <v>894.69829036244346</v>
      </c>
      <c r="O125" s="2">
        <f t="shared" si="438"/>
        <v>896.60921751150568</v>
      </c>
      <c r="P125" s="2">
        <f t="shared" si="439"/>
        <v>898.00445601916022</v>
      </c>
      <c r="Q125" s="2">
        <f t="shared" si="440"/>
        <v>898.96040119778002</v>
      </c>
      <c r="R125" s="2">
        <f t="shared" si="441"/>
        <v>899.55466089364722</v>
      </c>
      <c r="S125" s="2">
        <f t="shared" si="442"/>
        <v>899.86907868196499</v>
      </c>
      <c r="T125" s="2">
        <f t="shared" si="442"/>
        <v>899.33142563154729</v>
      </c>
      <c r="U125" s="2">
        <f t="shared" si="442"/>
        <v>899.04859545140255</v>
      </c>
      <c r="V125" s="2">
        <f t="shared" si="442"/>
        <v>899.20166732704001</v>
      </c>
      <c r="W125" s="2">
        <f t="shared" si="442"/>
        <v>899.95567629639231</v>
      </c>
      <c r="X125" s="2">
        <f t="shared" si="442"/>
        <v>894.01331903750747</v>
      </c>
      <c r="Y125" s="2">
        <f t="shared" si="442"/>
        <v>879.54967527851409</v>
      </c>
      <c r="Z125" s="2">
        <f t="shared" si="442"/>
        <v>866.34089089032352</v>
      </c>
      <c r="AC125" s="11"/>
      <c r="AD125">
        <f t="shared" si="458"/>
        <v>-3132324000</v>
      </c>
      <c r="AE125">
        <f t="shared" si="456"/>
        <v>-3128654802.56705</v>
      </c>
      <c r="AF125">
        <f t="shared" si="454"/>
        <v>-3134342934.1505322</v>
      </c>
      <c r="AG125">
        <f t="shared" si="451"/>
        <v>-3144273532.2981138</v>
      </c>
      <c r="AH125">
        <f t="shared" si="448"/>
        <v>-3155598172.20788</v>
      </c>
      <c r="AI125">
        <f t="shared" si="444"/>
        <v>-3166910497.6963544</v>
      </c>
      <c r="AJ125">
        <f t="shared" si="443"/>
        <v>-3177780021.2532377</v>
      </c>
      <c r="AK125">
        <f t="shared" si="332"/>
        <v>-3187877012.9838767</v>
      </c>
      <c r="AL125">
        <f t="shared" si="333"/>
        <v>-3196935319.1520619</v>
      </c>
      <c r="AM125">
        <f t="shared" si="334"/>
        <v>-3204960737.8801131</v>
      </c>
      <c r="AN125">
        <f t="shared" si="335"/>
        <v>-3212044452.113173</v>
      </c>
      <c r="AO125">
        <f t="shared" si="336"/>
        <v>-3218348514.531714</v>
      </c>
      <c r="AP125">
        <f t="shared" si="337"/>
        <v>-3224097107.3629127</v>
      </c>
      <c r="AQ125">
        <f t="shared" si="338"/>
        <v>-3229572308.9520788</v>
      </c>
      <c r="AR125">
        <f t="shared" si="445"/>
        <v>-3235113190.8032589</v>
      </c>
      <c r="AS125">
        <f t="shared" si="446"/>
        <v>-3241302411.434145</v>
      </c>
      <c r="AT125">
        <f t="shared" si="449"/>
        <v>-3248701884.0394835</v>
      </c>
      <c r="AU125">
        <f t="shared" si="452"/>
        <v>-3257845928.175086</v>
      </c>
      <c r="AV125">
        <f t="shared" si="455"/>
        <v>-3269236759.3173327</v>
      </c>
      <c r="AW125">
        <f t="shared" si="457"/>
        <v>-3285425914.1672177</v>
      </c>
      <c r="AX125">
        <f t="shared" si="459"/>
        <v>-3311724000</v>
      </c>
      <c r="AZ125" s="11"/>
      <c r="BA125">
        <f t="shared" si="429"/>
        <v>0.57605517503817649</v>
      </c>
      <c r="BB125">
        <f t="shared" si="429"/>
        <v>0.57605517503817649</v>
      </c>
      <c r="BC125">
        <f t="shared" si="429"/>
        <v>0.57605517503817649</v>
      </c>
      <c r="BD125">
        <f t="shared" si="429"/>
        <v>0.57605517503817649</v>
      </c>
      <c r="BE125">
        <f t="shared" si="429"/>
        <v>0.57605517503817649</v>
      </c>
      <c r="BF125">
        <f t="shared" si="429"/>
        <v>0.57605517503817649</v>
      </c>
      <c r="BG125">
        <f t="shared" si="429"/>
        <v>0.57605517503817649</v>
      </c>
      <c r="BH125">
        <f t="shared" si="429"/>
        <v>0.57605517503817638</v>
      </c>
      <c r="BI125">
        <f t="shared" si="430"/>
        <v>0.57605517503817638</v>
      </c>
      <c r="BJ125">
        <f t="shared" si="431"/>
        <v>0.57605517503817638</v>
      </c>
      <c r="BK125">
        <f t="shared" si="432"/>
        <v>0.57605517503817638</v>
      </c>
      <c r="BL125">
        <f t="shared" si="433"/>
        <v>0.57605517503817638</v>
      </c>
      <c r="BM125">
        <f t="shared" si="434"/>
        <v>0.57605517503817638</v>
      </c>
      <c r="BN125">
        <f t="shared" si="435"/>
        <v>0.57605517503817638</v>
      </c>
      <c r="BO125">
        <f t="shared" si="435"/>
        <v>0.57605517503817638</v>
      </c>
      <c r="BP125">
        <f t="shared" si="435"/>
        <v>0.57605517503817649</v>
      </c>
      <c r="BQ125">
        <f t="shared" si="435"/>
        <v>0.57605517503817649</v>
      </c>
      <c r="BR125">
        <f t="shared" si="435"/>
        <v>0.57605517503817649</v>
      </c>
      <c r="BS125">
        <f t="shared" si="435"/>
        <v>0.57605517503817649</v>
      </c>
      <c r="BT125">
        <f t="shared" si="435"/>
        <v>0.57605517503817649</v>
      </c>
      <c r="BU125">
        <f t="shared" si="435"/>
        <v>0.57605517503817649</v>
      </c>
    </row>
    <row r="126" spans="3:73" x14ac:dyDescent="0.3">
      <c r="C126" s="11"/>
      <c r="D126">
        <v>2</v>
      </c>
      <c r="E126">
        <f>E127+$E$3</f>
        <v>2E-3</v>
      </c>
      <c r="F126" s="2">
        <f t="shared" si="436"/>
        <v>838.30895278927369</v>
      </c>
      <c r="G126" s="2">
        <f t="shared" si="436"/>
        <v>850.19332049955688</v>
      </c>
      <c r="H126" s="2">
        <f t="shared" si="436"/>
        <v>863.81476642360826</v>
      </c>
      <c r="I126" s="2">
        <f t="shared" si="436"/>
        <v>873.13326374522183</v>
      </c>
      <c r="J126" s="2">
        <f t="shared" si="436"/>
        <v>879.49500482697067</v>
      </c>
      <c r="K126" s="2">
        <f t="shared" si="436"/>
        <v>883.65834216198209</v>
      </c>
      <c r="L126" s="2">
        <f t="shared" si="436"/>
        <v>887.4582731125065</v>
      </c>
      <c r="M126" s="2">
        <f t="shared" si="436"/>
        <v>890.88588819453548</v>
      </c>
      <c r="N126" s="2">
        <f t="shared" si="437"/>
        <v>893.4069956022422</v>
      </c>
      <c r="O126" s="2">
        <f t="shared" si="438"/>
        <v>895.437715609213</v>
      </c>
      <c r="P126" s="2">
        <f t="shared" si="439"/>
        <v>897.03840748730522</v>
      </c>
      <c r="Q126" s="2">
        <f t="shared" si="440"/>
        <v>898.27510422441651</v>
      </c>
      <c r="R126" s="2">
        <f t="shared" si="441"/>
        <v>899.22011097008772</v>
      </c>
      <c r="S126" s="2">
        <f t="shared" si="442"/>
        <v>899.95361961469359</v>
      </c>
      <c r="T126" s="2">
        <f t="shared" si="442"/>
        <v>900.15932856392897</v>
      </c>
      <c r="U126" s="2">
        <f t="shared" si="442"/>
        <v>900.58862947363787</v>
      </c>
      <c r="V126" s="2">
        <f t="shared" si="442"/>
        <v>901.41988721632026</v>
      </c>
      <c r="W126" s="2">
        <f t="shared" si="442"/>
        <v>902.8167123816097</v>
      </c>
      <c r="X126" s="2">
        <f t="shared" si="442"/>
        <v>900.13907203748477</v>
      </c>
      <c r="Y126" s="2">
        <f t="shared" si="442"/>
        <v>892.16466002987409</v>
      </c>
      <c r="Z126" s="2">
        <f t="shared" si="442"/>
        <v>885.69519741002284</v>
      </c>
      <c r="AC126" s="11"/>
      <c r="AD126">
        <f t="shared" si="458"/>
        <v>-3132324000</v>
      </c>
      <c r="AE126">
        <f t="shared" si="456"/>
        <v>-3132006187.5174966</v>
      </c>
      <c r="AF126">
        <f t="shared" si="454"/>
        <v>-3138046354.2130699</v>
      </c>
      <c r="AG126">
        <f t="shared" si="451"/>
        <v>-3147103480.7468863</v>
      </c>
      <c r="AH126">
        <f t="shared" si="448"/>
        <v>-3157276111.0541668</v>
      </c>
      <c r="AI126">
        <f t="shared" si="444"/>
        <v>-3167577287.9927764</v>
      </c>
      <c r="AJ126">
        <f t="shared" si="443"/>
        <v>-3177645335.1240025</v>
      </c>
      <c r="AK126">
        <f t="shared" si="332"/>
        <v>-3187202096.2485423</v>
      </c>
      <c r="AL126">
        <f t="shared" si="333"/>
        <v>-3196033732.6667929</v>
      </c>
      <c r="AM126">
        <f t="shared" si="334"/>
        <v>-3204123544.8158269</v>
      </c>
      <c r="AN126">
        <f t="shared" si="335"/>
        <v>-3211534212.6192384</v>
      </c>
      <c r="AO126">
        <f t="shared" si="336"/>
        <v>-3218395792.1339235</v>
      </c>
      <c r="AP126">
        <f t="shared" si="337"/>
        <v>-3224897379.6663928</v>
      </c>
      <c r="AQ126">
        <f t="shared" si="338"/>
        <v>-3231281625.6763077</v>
      </c>
      <c r="AR126">
        <f t="shared" si="445"/>
        <v>-3237841218.6891279</v>
      </c>
      <c r="AS126">
        <f t="shared" si="446"/>
        <v>-3245030236.4304848</v>
      </c>
      <c r="AT126">
        <f t="shared" si="449"/>
        <v>-3253289276.4144096</v>
      </c>
      <c r="AU126">
        <f t="shared" si="452"/>
        <v>-3263029904.6427493</v>
      </c>
      <c r="AV126">
        <f t="shared" si="455"/>
        <v>-3274620969.0392566</v>
      </c>
      <c r="AW126">
        <f t="shared" si="457"/>
        <v>-3289715947.7641277</v>
      </c>
      <c r="AX126">
        <f t="shared" si="459"/>
        <v>-3311724000</v>
      </c>
      <c r="AZ126" s="11"/>
      <c r="BA126">
        <f t="shared" si="429"/>
        <v>0.57605517503817649</v>
      </c>
      <c r="BB126">
        <f t="shared" si="429"/>
        <v>0.57605517503817649</v>
      </c>
      <c r="BC126">
        <f t="shared" si="429"/>
        <v>0.57605517503817649</v>
      </c>
      <c r="BD126">
        <f t="shared" si="429"/>
        <v>0.57605517503817649</v>
      </c>
      <c r="BE126">
        <f t="shared" si="429"/>
        <v>0.57605517503817649</v>
      </c>
      <c r="BF126">
        <f t="shared" si="429"/>
        <v>0.57605517503817649</v>
      </c>
      <c r="BG126">
        <f t="shared" si="429"/>
        <v>0.57605517503817649</v>
      </c>
      <c r="BH126">
        <f t="shared" si="429"/>
        <v>0.57605517503817649</v>
      </c>
      <c r="BI126">
        <f t="shared" si="430"/>
        <v>0.57605517503817649</v>
      </c>
      <c r="BJ126">
        <f t="shared" si="431"/>
        <v>0.57605517503817649</v>
      </c>
      <c r="BK126">
        <f t="shared" si="432"/>
        <v>0.57605517503817649</v>
      </c>
      <c r="BL126">
        <f t="shared" si="433"/>
        <v>0.57605517503817649</v>
      </c>
      <c r="BM126">
        <f t="shared" si="434"/>
        <v>0.57605517503817649</v>
      </c>
      <c r="BN126">
        <f t="shared" si="435"/>
        <v>0.57605517503817649</v>
      </c>
      <c r="BO126">
        <f t="shared" si="435"/>
        <v>0.57605517503817649</v>
      </c>
      <c r="BP126">
        <f t="shared" si="435"/>
        <v>0.57605517503817649</v>
      </c>
      <c r="BQ126">
        <f t="shared" si="435"/>
        <v>0.57605517503817649</v>
      </c>
      <c r="BR126">
        <f t="shared" si="435"/>
        <v>0.57605517503817649</v>
      </c>
      <c r="BS126">
        <f t="shared" si="435"/>
        <v>0.57605517503817649</v>
      </c>
      <c r="BT126">
        <f t="shared" si="435"/>
        <v>0.57605517503817649</v>
      </c>
      <c r="BU126">
        <f t="shared" si="435"/>
        <v>0.57605517503817649</v>
      </c>
    </row>
    <row r="127" spans="3:73" x14ac:dyDescent="0.3">
      <c r="C127" s="11"/>
      <c r="D127">
        <v>1</v>
      </c>
      <c r="E127">
        <v>0</v>
      </c>
      <c r="F127" s="2">
        <f t="shared" si="436"/>
        <v>850.49565333730061</v>
      </c>
      <c r="G127" s="2">
        <f t="shared" si="436"/>
        <v>858.26245043992662</v>
      </c>
      <c r="H127" s="2">
        <f t="shared" si="436"/>
        <v>867.68347085996061</v>
      </c>
      <c r="I127" s="2">
        <f t="shared" si="436"/>
        <v>874.54947107909857</v>
      </c>
      <c r="J127" s="2">
        <f t="shared" si="436"/>
        <v>879.63435287003153</v>
      </c>
      <c r="K127" s="2">
        <f t="shared" si="436"/>
        <v>883.35451297633472</v>
      </c>
      <c r="L127" s="2">
        <f t="shared" si="436"/>
        <v>886.8115540516078</v>
      </c>
      <c r="M127" s="2">
        <f t="shared" si="436"/>
        <v>889.97023321014694</v>
      </c>
      <c r="N127" s="2">
        <f t="shared" si="437"/>
        <v>892.47832143426831</v>
      </c>
      <c r="O127" s="2">
        <f t="shared" si="438"/>
        <v>894.59220467800992</v>
      </c>
      <c r="P127" s="2">
        <f t="shared" si="439"/>
        <v>896.35799977365036</v>
      </c>
      <c r="Q127" s="2">
        <f t="shared" si="440"/>
        <v>897.83167866232634</v>
      </c>
      <c r="R127" s="2">
        <f t="shared" si="441"/>
        <v>899.07868705599049</v>
      </c>
      <c r="S127" s="2">
        <f t="shared" si="442"/>
        <v>900.17449977285969</v>
      </c>
      <c r="T127" s="2">
        <f t="shared" si="442"/>
        <v>900.95692376026602</v>
      </c>
      <c r="U127" s="2">
        <f t="shared" si="442"/>
        <v>901.9419920701597</v>
      </c>
      <c r="V127" s="2">
        <f t="shared" si="442"/>
        <v>903.29223766644122</v>
      </c>
      <c r="W127" s="2">
        <f t="shared" si="442"/>
        <v>905.15704445803158</v>
      </c>
      <c r="X127" s="2">
        <f t="shared" si="442"/>
        <v>904.62542010215066</v>
      </c>
      <c r="Y127" s="2">
        <f t="shared" si="442"/>
        <v>900.94751603080385</v>
      </c>
      <c r="Z127" s="2">
        <f t="shared" si="442"/>
        <v>898.82248493111194</v>
      </c>
      <c r="AC127" s="11"/>
      <c r="AD127">
        <f t="shared" si="458"/>
        <v>-3132324000</v>
      </c>
      <c r="AE127">
        <f t="shared" si="456"/>
        <v>-3134395530.3281956</v>
      </c>
      <c r="AF127">
        <f t="shared" si="454"/>
        <v>-3140753149.5920711</v>
      </c>
      <c r="AG127">
        <f t="shared" si="451"/>
        <v>-3149256147.6353765</v>
      </c>
      <c r="AH127">
        <f t="shared" si="448"/>
        <v>-3158646212.0201597</v>
      </c>
      <c r="AI127">
        <f t="shared" si="444"/>
        <v>-3168232692.4108973</v>
      </c>
      <c r="AJ127">
        <f t="shared" si="443"/>
        <v>-3177722195.3900762</v>
      </c>
      <c r="AK127">
        <f t="shared" si="332"/>
        <v>-3186887400.8465824</v>
      </c>
      <c r="AL127">
        <f t="shared" si="333"/>
        <v>-3195559194.2219977</v>
      </c>
      <c r="AM127">
        <f t="shared" si="334"/>
        <v>-3203712051.7968483</v>
      </c>
      <c r="AN127">
        <f t="shared" si="335"/>
        <v>-3211390296.6418462</v>
      </c>
      <c r="AO127">
        <f t="shared" si="336"/>
        <v>-3218698649.3762555</v>
      </c>
      <c r="AP127">
        <f t="shared" si="337"/>
        <v>-3225794731.8448586</v>
      </c>
      <c r="AQ127">
        <f t="shared" si="338"/>
        <v>-3232883045.7231236</v>
      </c>
      <c r="AR127">
        <f t="shared" si="445"/>
        <v>-3240209800.9633603</v>
      </c>
      <c r="AS127">
        <f t="shared" si="446"/>
        <v>-3248127512.1674962</v>
      </c>
      <c r="AT127">
        <f t="shared" si="449"/>
        <v>-3256978075.6519732</v>
      </c>
      <c r="AU127">
        <f t="shared" si="452"/>
        <v>-3267073950.235023</v>
      </c>
      <c r="AV127">
        <f t="shared" si="455"/>
        <v>-3278680721.8462024</v>
      </c>
      <c r="AW127">
        <f t="shared" si="457"/>
        <v>-3292852501.1899171</v>
      </c>
      <c r="AX127">
        <f>(-($C$8*$C$7)/$C$4)*Z88</f>
        <v>-3311724000</v>
      </c>
      <c r="AZ127" s="11"/>
      <c r="BA127">
        <f t="shared" si="429"/>
        <v>0.57605517503817649</v>
      </c>
      <c r="BB127">
        <f t="shared" si="429"/>
        <v>0.57605517503817649</v>
      </c>
      <c r="BC127">
        <f t="shared" si="429"/>
        <v>0.57605517503817649</v>
      </c>
      <c r="BD127">
        <f t="shared" si="429"/>
        <v>0.57605517503817649</v>
      </c>
      <c r="BE127">
        <f t="shared" si="429"/>
        <v>0.57605517503817649</v>
      </c>
      <c r="BF127">
        <f t="shared" si="429"/>
        <v>0.57605517503817649</v>
      </c>
      <c r="BG127">
        <f t="shared" si="429"/>
        <v>0.57605517503817649</v>
      </c>
      <c r="BH127">
        <f t="shared" si="429"/>
        <v>0.57605517503817649</v>
      </c>
      <c r="BI127">
        <f t="shared" si="430"/>
        <v>0.57605517503817649</v>
      </c>
      <c r="BJ127">
        <f t="shared" si="431"/>
        <v>0.57605517503817649</v>
      </c>
      <c r="BK127">
        <f t="shared" si="432"/>
        <v>0.57605517503817649</v>
      </c>
      <c r="BL127">
        <f t="shared" si="433"/>
        <v>0.57605517503817649</v>
      </c>
      <c r="BM127">
        <f t="shared" si="434"/>
        <v>0.57605517503817649</v>
      </c>
      <c r="BN127">
        <f t="shared" si="435"/>
        <v>0.57605517503817649</v>
      </c>
      <c r="BO127">
        <f t="shared" si="435"/>
        <v>0.57605517503817649</v>
      </c>
      <c r="BP127">
        <f t="shared" si="435"/>
        <v>0.57605517503817649</v>
      </c>
      <c r="BQ127">
        <f t="shared" si="435"/>
        <v>0.57605517503817649</v>
      </c>
      <c r="BR127">
        <f t="shared" si="435"/>
        <v>0.57605517503817649</v>
      </c>
      <c r="BS127">
        <f t="shared" si="435"/>
        <v>0.57605517503817649</v>
      </c>
      <c r="BT127">
        <f t="shared" si="435"/>
        <v>0.57605517503817649</v>
      </c>
      <c r="BU127">
        <f t="shared" si="435"/>
        <v>0.57605517503817649</v>
      </c>
    </row>
    <row r="131" spans="52:73" x14ac:dyDescent="0.3">
      <c r="AZ131" s="13" t="s">
        <v>26</v>
      </c>
      <c r="BA131" s="2"/>
      <c r="BB131" s="2"/>
      <c r="BC131" s="2"/>
      <c r="BD131">
        <v>1223</v>
      </c>
      <c r="BE131">
        <v>1223</v>
      </c>
      <c r="BF131">
        <v>1223</v>
      </c>
      <c r="BG131">
        <v>1223</v>
      </c>
      <c r="BH131">
        <v>1223</v>
      </c>
      <c r="BI131">
        <v>1223</v>
      </c>
      <c r="BJ131">
        <v>1223</v>
      </c>
      <c r="BK131">
        <v>1223</v>
      </c>
      <c r="BL131">
        <v>1223</v>
      </c>
      <c r="BM131">
        <v>1223</v>
      </c>
      <c r="BN131">
        <v>1223</v>
      </c>
      <c r="BO131">
        <v>1223</v>
      </c>
      <c r="BP131">
        <v>1223</v>
      </c>
      <c r="BQ131">
        <v>1223</v>
      </c>
      <c r="BR131">
        <v>1223</v>
      </c>
      <c r="BS131" s="2"/>
      <c r="BT131" s="2"/>
      <c r="BU131" s="2"/>
    </row>
    <row r="132" spans="52:73" x14ac:dyDescent="0.3">
      <c r="AZ132" s="11"/>
      <c r="BA132" s="2"/>
      <c r="BB132" s="2"/>
      <c r="BC132" s="2"/>
      <c r="BD132" s="12">
        <f>(BD131*$C$22-AG94)/($C$21-$C$22*BD93)</f>
        <v>646.7889273356401</v>
      </c>
      <c r="BE132" s="12">
        <f>(BE131*$C$22-AH94)/($C$21-$C$22*BE93)</f>
        <v>657.02010223967704</v>
      </c>
      <c r="BF132" s="12">
        <f t="shared" ref="BF132:BR132" si="460">(BF131*$C$22-AI94)/($C$21-$C$22*BF93)</f>
        <v>664.75469288552381</v>
      </c>
      <c r="BG132" s="12">
        <f t="shared" si="460"/>
        <v>670.5145834171044</v>
      </c>
      <c r="BH132" s="12">
        <f t="shared" si="460"/>
        <v>674.68841696717232</v>
      </c>
      <c r="BI132" s="12">
        <f t="shared" si="460"/>
        <v>677.55781898287773</v>
      </c>
      <c r="BJ132" s="12">
        <f t="shared" si="460"/>
        <v>679.31639963483042</v>
      </c>
      <c r="BK132" s="12">
        <f t="shared" si="460"/>
        <v>680.08281747913099</v>
      </c>
      <c r="BL132" s="12">
        <f t="shared" si="460"/>
        <v>679.90878583053336</v>
      </c>
      <c r="BM132" s="12">
        <f t="shared" si="460"/>
        <v>678.78256206914921</v>
      </c>
      <c r="BN132" s="12">
        <f t="shared" si="460"/>
        <v>676.62815531834553</v>
      </c>
      <c r="BO132" s="12">
        <f t="shared" si="460"/>
        <v>673.30019903265304</v>
      </c>
      <c r="BP132" s="12">
        <f t="shared" si="460"/>
        <v>668.57414252843478</v>
      </c>
      <c r="BQ132" s="12">
        <f t="shared" si="460"/>
        <v>662.13109964018122</v>
      </c>
      <c r="BR132" s="12">
        <f t="shared" si="460"/>
        <v>653.53633217993081</v>
      </c>
      <c r="BS132" s="2"/>
      <c r="BT132" s="2"/>
      <c r="BU132" s="2"/>
    </row>
    <row r="133" spans="52:73" x14ac:dyDescent="0.3">
      <c r="AZ133" s="11"/>
      <c r="BA133" s="2"/>
      <c r="BB133" s="2"/>
      <c r="BC133" s="2"/>
      <c r="BD133" s="12">
        <f t="shared" ref="BD133:BD135" si="461">(BD132*$C$22-AG95)/($C$21-$C$22*BD94)</f>
        <v>489.05433309767875</v>
      </c>
      <c r="BE133" s="12">
        <f t="shared" ref="BE133:BE136" si="462">(BE132*$C$22-AH95)/($C$21-$C$22*BE94)</f>
        <v>505.73092471668957</v>
      </c>
      <c r="BF133" s="12">
        <f t="shared" ref="BF133:BF137" si="463">(BF132*$C$22-AI95)/($C$21-$C$22*BF94)</f>
        <v>518.54012396301391</v>
      </c>
      <c r="BG133" s="12">
        <f t="shared" ref="BG133:BG138" si="464">(BG132*$C$22-AJ95)/($C$21-$C$22*BG94)</f>
        <v>528.21858749142416</v>
      </c>
      <c r="BH133" s="12">
        <f t="shared" ref="BH133:BH138" si="465">(BH132*$C$22-AK95)/($C$21-$C$22*BH94)</f>
        <v>535.3239758956388</v>
      </c>
      <c r="BI133" s="12">
        <f t="shared" ref="BI133:BI138" si="466">(BI132*$C$22-AL95)/($C$21-$C$22*BI94)</f>
        <v>540.26637640115985</v>
      </c>
      <c r="BJ133" s="12">
        <f t="shared" ref="BJ133:BJ138" si="467">(BJ132*$C$22-AM95)/($C$21-$C$22*BJ94)</f>
        <v>543.33146228960095</v>
      </c>
      <c r="BK133" s="12">
        <f t="shared" ref="BK133:BK138" si="468">(BK132*$C$22-AN95)/($C$21-$C$22*BK94)</f>
        <v>544.69665827806614</v>
      </c>
      <c r="BL133" s="12">
        <f t="shared" ref="BL133:BL138" si="469">(BL132*$C$22-AO95)/($C$21-$C$22*BL94)</f>
        <v>544.44120027640975</v>
      </c>
      <c r="BM133" s="12">
        <f t="shared" ref="BM133:BM138" si="470">(BM132*$C$22-AP95)/($C$21-$C$22*BM94)</f>
        <v>542.55064392865825</v>
      </c>
      <c r="BN133" s="12">
        <f t="shared" ref="BN133:BN138" si="471">(BN132*$C$22-AQ95)/($C$21-$C$22*BN94)</f>
        <v>538.91607164611912</v>
      </c>
      <c r="BO133" s="12">
        <f t="shared" ref="BO133:BO138" si="472">(BO132*$C$22-AR95)/($C$21-$C$22*BO94)</f>
        <v>533.32795644428063</v>
      </c>
      <c r="BP133" s="12">
        <f t="shared" ref="BP133:BP137" si="473">(BP132*$C$22-AS95)/($C$21-$C$22*BP94)</f>
        <v>525.46434745603187</v>
      </c>
      <c r="BQ133" s="12">
        <f t="shared" ref="BQ133:BQ135" si="474">(BQ132*$C$22-AT95)/($C$21-$C$22*BQ94)</f>
        <v>514.87273107461294</v>
      </c>
      <c r="BR133" s="12">
        <f t="shared" ref="BR133:BR135" si="475">(BR132*$C$22-AU95)/($C$21-$C$22*BR94)</f>
        <v>500.94457700011782</v>
      </c>
      <c r="BS133" s="2"/>
      <c r="BT133" s="2"/>
      <c r="BU133" s="2"/>
    </row>
    <row r="134" spans="52:73" x14ac:dyDescent="0.3">
      <c r="AZ134" s="11"/>
      <c r="BA134" s="2"/>
      <c r="BB134" s="2"/>
      <c r="BC134" s="2"/>
      <c r="BD134" s="12">
        <f t="shared" si="461"/>
        <v>427.78516970282436</v>
      </c>
      <c r="BE134" s="12">
        <f t="shared" si="462"/>
        <v>447.4693094748485</v>
      </c>
      <c r="BF134" s="12">
        <f t="shared" si="463"/>
        <v>462.87137695554537</v>
      </c>
      <c r="BG134" s="12">
        <f t="shared" si="464"/>
        <v>474.7046911808647</v>
      </c>
      <c r="BH134" s="12">
        <f t="shared" si="465"/>
        <v>483.52175213919469</v>
      </c>
      <c r="BI134" s="12">
        <f t="shared" si="466"/>
        <v>489.73712591721693</v>
      </c>
      <c r="BJ134" s="12">
        <f t="shared" si="467"/>
        <v>493.64485231714502</v>
      </c>
      <c r="BK134" s="12">
        <f t="shared" si="468"/>
        <v>495.43093736105078</v>
      </c>
      <c r="BL134" s="12">
        <f t="shared" si="469"/>
        <v>495.18134746717777</v>
      </c>
      <c r="BM134" s="12">
        <f t="shared" si="470"/>
        <v>492.8857801881644</v>
      </c>
      <c r="BN134" s="12">
        <f t="shared" si="471"/>
        <v>488.43734789881728</v>
      </c>
      <c r="BO134" s="12">
        <f t="shared" si="472"/>
        <v>481.62817474336481</v>
      </c>
      <c r="BP134" s="12">
        <f t="shared" si="473"/>
        <v>472.14077231146257</v>
      </c>
      <c r="BQ134" s="12">
        <f t="shared" si="474"/>
        <v>459.53492487130268</v>
      </c>
      <c r="BR134" s="12">
        <f t="shared" si="475"/>
        <v>443.22968004316596</v>
      </c>
      <c r="BS134" s="2"/>
      <c r="BT134" s="2"/>
      <c r="BU134" s="2"/>
    </row>
    <row r="135" spans="52:73" x14ac:dyDescent="0.3">
      <c r="AZ135" s="11"/>
      <c r="BA135" s="2"/>
      <c r="BB135" s="2"/>
      <c r="BC135" s="2"/>
      <c r="BD135" s="12">
        <f t="shared" si="461"/>
        <v>400.05046254985831</v>
      </c>
      <c r="BE135" s="12">
        <f t="shared" si="462"/>
        <v>420.29170211114393</v>
      </c>
      <c r="BF135" s="12">
        <f t="shared" si="463"/>
        <v>436.45368750645554</v>
      </c>
      <c r="BG135" s="12">
        <f t="shared" si="464"/>
        <v>449.09556232012989</v>
      </c>
      <c r="BH135" s="12">
        <f t="shared" si="465"/>
        <v>458.66502574191503</v>
      </c>
      <c r="BI135" s="12">
        <f t="shared" si="466"/>
        <v>465.50767901873883</v>
      </c>
      <c r="BJ135" s="12">
        <f t="shared" si="467"/>
        <v>469.8748542117645</v>
      </c>
      <c r="BK135" s="12">
        <f t="shared" si="468"/>
        <v>471.92968578835377</v>
      </c>
      <c r="BL135" s="12">
        <f t="shared" si="469"/>
        <v>471.75129316613879</v>
      </c>
      <c r="BM135" s="12">
        <f t="shared" si="470"/>
        <v>469.33701565058118</v>
      </c>
      <c r="BN135" s="12">
        <f t="shared" si="471"/>
        <v>464.60269452425416</v>
      </c>
      <c r="BO135" s="12">
        <f t="shared" si="472"/>
        <v>457.38104257664708</v>
      </c>
      <c r="BP135" s="12">
        <f t="shared" si="473"/>
        <v>447.41819047975196</v>
      </c>
      <c r="BQ135" s="12">
        <f t="shared" si="474"/>
        <v>434.36856375762568</v>
      </c>
      <c r="BR135" s="12">
        <f t="shared" si="475"/>
        <v>417.78833671182986</v>
      </c>
      <c r="BS135" s="2"/>
      <c r="BT135" s="2"/>
      <c r="BU135" s="2"/>
    </row>
    <row r="136" spans="52:73" x14ac:dyDescent="0.3">
      <c r="AZ136" s="11"/>
      <c r="BA136" s="2"/>
      <c r="BB136" s="2"/>
      <c r="BC136" s="2"/>
      <c r="BD136" s="2"/>
      <c r="BE136" s="12">
        <f t="shared" si="462"/>
        <v>397.94060018404082</v>
      </c>
      <c r="BF136" s="12">
        <f t="shared" si="463"/>
        <v>415.29081757675749</v>
      </c>
      <c r="BG136" s="12">
        <f t="shared" si="464"/>
        <v>429.04246794188219</v>
      </c>
      <c r="BH136" s="12">
        <f t="shared" si="465"/>
        <v>439.57791569424467</v>
      </c>
      <c r="BI136" s="12">
        <f t="shared" si="466"/>
        <v>447.1999819972977</v>
      </c>
      <c r="BJ136" s="12">
        <f t="shared" si="467"/>
        <v>452.13421957217923</v>
      </c>
      <c r="BK136" s="12">
        <f t="shared" si="468"/>
        <v>454.53120756124139</v>
      </c>
      <c r="BL136" s="12">
        <f t="shared" si="469"/>
        <v>454.46849981394678</v>
      </c>
      <c r="BM136" s="12">
        <f t="shared" si="470"/>
        <v>451.95202304965198</v>
      </c>
      <c r="BN136" s="12">
        <f t="shared" si="471"/>
        <v>446.9168595756687</v>
      </c>
      <c r="BO136" s="12">
        <f t="shared" si="472"/>
        <v>439.22747749201943</v>
      </c>
      <c r="BP136" s="12">
        <f t="shared" si="473"/>
        <v>428.6776037066391</v>
      </c>
      <c r="BQ136" s="12">
        <f t="shared" ref="BQ131:BQ136" si="476">(BP136*$C$17-AT174)/($C$16-$C$17*BP174)</f>
        <v>206.2933607827907</v>
      </c>
      <c r="BR136" s="12"/>
      <c r="BS136" s="2"/>
      <c r="BT136" s="2"/>
      <c r="BU136" s="2"/>
    </row>
    <row r="137" spans="52:73" x14ac:dyDescent="0.3">
      <c r="AZ137" s="11"/>
      <c r="BA137" s="2"/>
      <c r="BB137" s="2"/>
      <c r="BC137" s="2"/>
      <c r="BD137" s="2"/>
      <c r="BE137" s="2"/>
      <c r="BF137" s="12">
        <f t="shared" si="463"/>
        <v>395.78045166874637</v>
      </c>
      <c r="BG137" s="12">
        <f t="shared" si="464"/>
        <v>410.65158287389693</v>
      </c>
      <c r="BH137" s="12">
        <f t="shared" si="465"/>
        <v>422.16141957054919</v>
      </c>
      <c r="BI137" s="12">
        <f t="shared" si="466"/>
        <v>430.58140184152415</v>
      </c>
      <c r="BJ137" s="12">
        <f t="shared" si="467"/>
        <v>436.11880140614835</v>
      </c>
      <c r="BK137" s="12">
        <f t="shared" si="468"/>
        <v>438.91684280688469</v>
      </c>
      <c r="BL137" s="12">
        <f t="shared" si="469"/>
        <v>439.05541117051877</v>
      </c>
      <c r="BM137" s="12">
        <f t="shared" si="470"/>
        <v>436.55210970673073</v>
      </c>
      <c r="BN137" s="12">
        <f t="shared" si="471"/>
        <v>431.36359319347338</v>
      </c>
      <c r="BO137" s="12">
        <f t="shared" si="472"/>
        <v>423.3872588919001</v>
      </c>
      <c r="BP137" s="12">
        <f t="shared" si="473"/>
        <v>412.4635357054853</v>
      </c>
      <c r="BQ137" s="2"/>
      <c r="BR137" s="2"/>
      <c r="BS137" s="2"/>
      <c r="BT137" s="2"/>
      <c r="BU137" s="2"/>
    </row>
    <row r="138" spans="52:73" x14ac:dyDescent="0.3">
      <c r="AZ138" s="11"/>
      <c r="BA138" s="2"/>
      <c r="BB138" s="2"/>
      <c r="BC138" s="2"/>
      <c r="BD138" s="2"/>
      <c r="BE138" s="2"/>
      <c r="BF138" s="2"/>
      <c r="BG138" s="12">
        <f t="shared" si="464"/>
        <v>393.34506893361117</v>
      </c>
      <c r="BH138" s="12">
        <f t="shared" si="465"/>
        <v>405.70516842552922</v>
      </c>
      <c r="BI138" s="12">
        <f t="shared" si="466"/>
        <v>414.86437893437846</v>
      </c>
      <c r="BJ138" s="12">
        <f t="shared" si="467"/>
        <v>421.01326116744735</v>
      </c>
      <c r="BK138" s="12">
        <f t="shared" si="468"/>
        <v>424.29034761783316</v>
      </c>
      <c r="BL138" s="12">
        <f t="shared" si="469"/>
        <v>424.78220024743121</v>
      </c>
      <c r="BM138" s="12">
        <f t="shared" si="470"/>
        <v>422.52453115775006</v>
      </c>
      <c r="BN138" s="12">
        <f t="shared" si="471"/>
        <v>417.50433578542447</v>
      </c>
      <c r="BO138" s="12">
        <f t="shared" si="472"/>
        <v>409.66314849005528</v>
      </c>
      <c r="BP138" s="2"/>
      <c r="BQ138" s="2"/>
      <c r="BR138" s="2"/>
      <c r="BS138" s="2"/>
      <c r="BT138" s="2"/>
      <c r="BU138" s="2"/>
    </row>
    <row r="139" spans="52:73" x14ac:dyDescent="0.3">
      <c r="AZ139" s="11"/>
      <c r="BA139" s="2"/>
      <c r="BB139" s="2"/>
      <c r="BC139" s="2"/>
      <c r="BD139" s="2"/>
      <c r="BE139" s="2"/>
      <c r="BF139" s="2"/>
      <c r="BG139" s="2"/>
      <c r="BH139" s="12">
        <f t="shared" ref="BH139:BH165" si="477">(BH138*$C$22-AK101)/($C$21-$C$22*BH100)</f>
        <v>390.5737889898291</v>
      </c>
      <c r="BI139" s="12">
        <f t="shared" ref="BI139:BI165" si="478">(BI138*$C$22-AL101)/($C$21-$C$22*BI100)</f>
        <v>400.41158673756888</v>
      </c>
      <c r="BJ139" s="12">
        <f t="shared" ref="BJ139:BJ165" si="479">(BJ138*$C$22-AM101)/($C$21-$C$22*BJ100)</f>
        <v>407.21795988382047</v>
      </c>
      <c r="BK139" s="12">
        <f t="shared" ref="BK139:BK165" si="480">(BK138*$C$22-AN101)/($C$21-$C$22*BK100)</f>
        <v>411.13121555771062</v>
      </c>
      <c r="BL139" s="12">
        <f t="shared" ref="BL139:BL165" si="481">(BL138*$C$22-AO101)/($C$21-$C$22*BL100)</f>
        <v>412.25287334260867</v>
      </c>
      <c r="BM139" s="12">
        <f t="shared" ref="BM139:BM165" si="482">(BM138*$C$22-AP101)/($C$21-$C$22*BM100)</f>
        <v>410.64938947630486</v>
      </c>
      <c r="BN139" s="12">
        <f t="shared" ref="BN139:BU166" si="483">(BN138*$C$22-AQ101)/($C$21-$C$22*BN100)</f>
        <v>406.35567043592329</v>
      </c>
      <c r="BO139" s="2"/>
      <c r="BP139" s="2"/>
      <c r="BQ139" s="2"/>
      <c r="BR139" s="2"/>
      <c r="BS139" s="2"/>
      <c r="BT139" s="2"/>
      <c r="BU139" s="2"/>
    </row>
    <row r="140" spans="52:73" x14ac:dyDescent="0.3">
      <c r="AZ140" s="11"/>
      <c r="BA140" s="2"/>
      <c r="BB140" s="2"/>
      <c r="BC140" s="2"/>
      <c r="BD140" s="2"/>
      <c r="BE140" s="2"/>
      <c r="BF140" s="2"/>
      <c r="BG140" s="2"/>
      <c r="BH140" s="12">
        <f t="shared" si="477"/>
        <v>381.88320626102177</v>
      </c>
      <c r="BI140" s="12">
        <f t="shared" si="478"/>
        <v>391.34832529327861</v>
      </c>
      <c r="BJ140" s="12">
        <f t="shared" si="479"/>
        <v>398.11347044375213</v>
      </c>
      <c r="BK140" s="12">
        <f t="shared" si="480"/>
        <v>402.27235586572215</v>
      </c>
      <c r="BL140" s="12">
        <f t="shared" si="481"/>
        <v>403.91246621816646</v>
      </c>
      <c r="BM140" s="12">
        <f t="shared" si="482"/>
        <v>403.11538604267673</v>
      </c>
      <c r="BN140" s="12">
        <f t="shared" si="483"/>
        <v>399.96031210549103</v>
      </c>
      <c r="BO140" s="2"/>
      <c r="BP140" s="2"/>
      <c r="BQ140" s="2"/>
      <c r="BR140" s="2"/>
      <c r="BS140" s="2"/>
      <c r="BT140" s="2"/>
      <c r="BU140" s="2"/>
    </row>
    <row r="141" spans="52:73" x14ac:dyDescent="0.3">
      <c r="AZ141" s="11"/>
      <c r="BA141" s="2"/>
      <c r="BB141" s="2"/>
      <c r="BC141" s="2"/>
      <c r="BD141" s="2"/>
      <c r="BE141" s="2"/>
      <c r="BF141" s="2"/>
      <c r="BG141" s="2"/>
      <c r="BH141" s="12">
        <f t="shared" si="477"/>
        <v>376.88532422673177</v>
      </c>
      <c r="BI141" s="12">
        <f t="shared" si="478"/>
        <v>385.53293805399267</v>
      </c>
      <c r="BJ141" s="12">
        <f t="shared" si="479"/>
        <v>391.93815410112541</v>
      </c>
      <c r="BK141" s="12">
        <f t="shared" si="480"/>
        <v>396.14108220912755</v>
      </c>
      <c r="BL141" s="12">
        <f t="shared" si="481"/>
        <v>398.20528544572551</v>
      </c>
      <c r="BM141" s="12">
        <f t="shared" si="482"/>
        <v>398.21642013324725</v>
      </c>
      <c r="BN141" s="12">
        <f t="shared" si="483"/>
        <v>396.28498545235777</v>
      </c>
      <c r="BO141" s="2"/>
      <c r="BP141" s="2"/>
      <c r="BQ141" s="2"/>
      <c r="BR141" s="2"/>
      <c r="BS141" s="2"/>
      <c r="BT141" s="2"/>
      <c r="BU141" s="2"/>
    </row>
    <row r="142" spans="52:73" x14ac:dyDescent="0.3">
      <c r="AZ142" s="11"/>
      <c r="BA142" s="2"/>
      <c r="BB142" s="2"/>
      <c r="BC142" s="2"/>
      <c r="BD142" s="2"/>
      <c r="BE142" s="2"/>
      <c r="BF142" s="2"/>
      <c r="BG142" s="2"/>
      <c r="BH142" s="12">
        <f t="shared" si="477"/>
        <v>374.00900308540258</v>
      </c>
      <c r="BI142" s="12">
        <f t="shared" si="478"/>
        <v>381.72755141802782</v>
      </c>
      <c r="BJ142" s="12">
        <f t="shared" si="479"/>
        <v>387.66555695287093</v>
      </c>
      <c r="BK142" s="12">
        <f t="shared" si="480"/>
        <v>391.81755540856176</v>
      </c>
      <c r="BL142" s="12">
        <f t="shared" si="481"/>
        <v>394.22334870475936</v>
      </c>
      <c r="BM142" s="12">
        <f t="shared" si="482"/>
        <v>394.96542771952574</v>
      </c>
      <c r="BN142" s="12">
        <f t="shared" si="483"/>
        <v>394.17066667889253</v>
      </c>
      <c r="BO142" s="2"/>
      <c r="BP142" s="2"/>
      <c r="BQ142" s="2"/>
      <c r="BR142" s="2"/>
      <c r="BS142" s="2"/>
      <c r="BT142" s="2"/>
      <c r="BU142" s="2"/>
    </row>
    <row r="143" spans="52:73" x14ac:dyDescent="0.3">
      <c r="AZ143" s="11"/>
      <c r="BA143" s="2"/>
      <c r="BB143" s="2"/>
      <c r="BC143" s="2"/>
      <c r="BD143" s="2"/>
      <c r="BE143" s="2"/>
      <c r="BF143" s="2"/>
      <c r="BG143" s="2"/>
      <c r="BH143" s="12">
        <f t="shared" si="477"/>
        <v>372.3529825119727</v>
      </c>
      <c r="BI143" s="12">
        <f t="shared" si="478"/>
        <v>379.19583753466492</v>
      </c>
      <c r="BJ143" s="12">
        <f t="shared" si="479"/>
        <v>384.66792234499491</v>
      </c>
      <c r="BK143" s="12">
        <f t="shared" si="480"/>
        <v>388.731914085813</v>
      </c>
      <c r="BL143" s="12">
        <f t="shared" si="481"/>
        <v>391.40826354493481</v>
      </c>
      <c r="BM143" s="12">
        <f t="shared" si="482"/>
        <v>392.7720540893207</v>
      </c>
      <c r="BN143" s="12">
        <f t="shared" si="483"/>
        <v>392.95364935149473</v>
      </c>
      <c r="BO143" s="2"/>
      <c r="BP143" s="2"/>
      <c r="BQ143" s="2"/>
      <c r="BR143" s="2"/>
      <c r="BS143" s="2"/>
      <c r="BT143" s="2"/>
      <c r="BU143" s="2"/>
    </row>
    <row r="144" spans="52:73" x14ac:dyDescent="0.3">
      <c r="AZ144" s="11"/>
      <c r="BA144" s="2"/>
      <c r="BB144" s="2"/>
      <c r="BC144" s="2"/>
      <c r="BD144" s="2"/>
      <c r="BE144" s="2"/>
      <c r="BF144" s="2"/>
      <c r="BG144" s="2"/>
      <c r="BH144" s="12">
        <f t="shared" si="477"/>
        <v>371.39932005209147</v>
      </c>
      <c r="BI144" s="12">
        <f t="shared" si="478"/>
        <v>377.48807960015949</v>
      </c>
      <c r="BJ144" s="12">
        <f t="shared" si="479"/>
        <v>382.54467417722094</v>
      </c>
      <c r="BK144" s="12">
        <f t="shared" si="480"/>
        <v>386.51339302322839</v>
      </c>
      <c r="BL144" s="12">
        <f t="shared" si="481"/>
        <v>389.40077205129518</v>
      </c>
      <c r="BM144" s="12">
        <f t="shared" si="482"/>
        <v>391.27244080832077</v>
      </c>
      <c r="BN144" s="12">
        <f t="shared" si="483"/>
        <v>392.25289328102741</v>
      </c>
      <c r="BO144" s="2"/>
      <c r="BP144" s="2"/>
      <c r="BQ144" s="2"/>
      <c r="BR144" s="2"/>
      <c r="BS144" s="2"/>
      <c r="BT144" s="2"/>
      <c r="BU144" s="2"/>
    </row>
    <row r="145" spans="52:73" x14ac:dyDescent="0.3">
      <c r="AZ145" s="11"/>
      <c r="BA145" s="2"/>
      <c r="BB145" s="2"/>
      <c r="BC145" s="2"/>
      <c r="BD145" s="2"/>
      <c r="BE145" s="2"/>
      <c r="BF145" s="2"/>
      <c r="BG145" s="2"/>
      <c r="BH145" s="12">
        <f t="shared" si="477"/>
        <v>370.8500560289126</v>
      </c>
      <c r="BI145" s="12">
        <f t="shared" si="478"/>
        <v>376.3229212232676</v>
      </c>
      <c r="BJ145" s="12">
        <f t="shared" si="479"/>
        <v>381.03114681790328</v>
      </c>
      <c r="BK145" s="12">
        <f t="shared" si="480"/>
        <v>384.91139833556429</v>
      </c>
      <c r="BL145" s="12">
        <f t="shared" si="481"/>
        <v>387.96122522565923</v>
      </c>
      <c r="BM145" s="12">
        <f t="shared" si="482"/>
        <v>390.23625574589823</v>
      </c>
      <c r="BN145" s="12">
        <f t="shared" si="483"/>
        <v>391.84932278134272</v>
      </c>
      <c r="BO145" s="2"/>
      <c r="BP145" s="2"/>
      <c r="BQ145" s="2"/>
      <c r="BR145" s="2"/>
      <c r="BS145" s="2"/>
      <c r="BT145" s="2"/>
      <c r="BU145" s="2"/>
    </row>
    <row r="146" spans="52:73" x14ac:dyDescent="0.3">
      <c r="AZ146" s="11"/>
      <c r="BA146" s="2"/>
      <c r="BB146" s="2"/>
      <c r="BC146" s="2"/>
      <c r="BD146" s="2"/>
      <c r="BE146" s="2"/>
      <c r="BF146" s="2"/>
      <c r="BG146" s="2"/>
      <c r="BH146" s="12">
        <f t="shared" si="477"/>
        <v>370.53368216497807</v>
      </c>
      <c r="BI146" s="12">
        <f t="shared" si="478"/>
        <v>375.52050681623149</v>
      </c>
      <c r="BJ146" s="12">
        <f t="shared" si="479"/>
        <v>379.94771377082714</v>
      </c>
      <c r="BK146" s="12">
        <f t="shared" si="480"/>
        <v>383.75185886192696</v>
      </c>
      <c r="BL146" s="12">
        <f t="shared" si="481"/>
        <v>386.92537037208467</v>
      </c>
      <c r="BM146" s="12">
        <f t="shared" si="482"/>
        <v>389.51426847345965</v>
      </c>
      <c r="BN146" s="12">
        <f t="shared" si="483"/>
        <v>391.61687826253581</v>
      </c>
      <c r="BO146" s="2"/>
      <c r="BP146" s="2"/>
      <c r="BQ146" s="2"/>
      <c r="BR146" s="2"/>
      <c r="BS146" s="2"/>
      <c r="BT146" s="2"/>
      <c r="BU146" s="2"/>
    </row>
    <row r="147" spans="52:73" x14ac:dyDescent="0.3">
      <c r="AZ147" s="11"/>
      <c r="BA147" s="2"/>
      <c r="BB147" s="2"/>
      <c r="BC147" s="2"/>
      <c r="BD147" s="2"/>
      <c r="BE147" s="2"/>
      <c r="BF147" s="2"/>
      <c r="BG147" s="2"/>
      <c r="BH147" s="12">
        <f t="shared" si="477"/>
        <v>370.3514441433876</v>
      </c>
      <c r="BI147" s="12">
        <f t="shared" si="478"/>
        <v>374.96367277908018</v>
      </c>
      <c r="BJ147" s="12">
        <f t="shared" si="479"/>
        <v>379.17003994617124</v>
      </c>
      <c r="BK147" s="12">
        <f t="shared" si="480"/>
        <v>382.91161201025926</v>
      </c>
      <c r="BL147" s="12">
        <f t="shared" si="481"/>
        <v>386.17844511194755</v>
      </c>
      <c r="BM147" s="12">
        <f t="shared" si="482"/>
        <v>389.00786934088836</v>
      </c>
      <c r="BN147" s="12">
        <f t="shared" si="483"/>
        <v>391.48298878707112</v>
      </c>
      <c r="BO147" s="2"/>
      <c r="BP147" s="2"/>
      <c r="BQ147" s="2"/>
      <c r="BR147" s="2"/>
      <c r="BS147" s="2"/>
      <c r="BT147" s="2"/>
      <c r="BU147" s="2"/>
    </row>
    <row r="148" spans="52:73" x14ac:dyDescent="0.3">
      <c r="AZ148" s="11"/>
      <c r="BA148" s="2"/>
      <c r="BB148" s="2"/>
      <c r="BC148" s="2"/>
      <c r="BD148" s="2"/>
      <c r="BE148" s="2"/>
      <c r="BF148" s="2"/>
      <c r="BG148" s="2"/>
      <c r="BH148" s="12">
        <f t="shared" si="477"/>
        <v>370.24646856305463</v>
      </c>
      <c r="BI148" s="12">
        <f t="shared" si="478"/>
        <v>374.57484348176246</v>
      </c>
      <c r="BJ148" s="12">
        <f t="shared" si="479"/>
        <v>378.61085949535754</v>
      </c>
      <c r="BK148" s="12">
        <f t="shared" si="480"/>
        <v>382.30248868309013</v>
      </c>
      <c r="BL148" s="12">
        <f t="shared" si="481"/>
        <v>385.63921142316252</v>
      </c>
      <c r="BM148" s="12">
        <f t="shared" si="482"/>
        <v>388.65082091322745</v>
      </c>
      <c r="BN148" s="12">
        <f t="shared" si="483"/>
        <v>391.40586484076522</v>
      </c>
      <c r="BO148" s="2"/>
      <c r="BP148" s="2"/>
      <c r="BQ148" s="2"/>
      <c r="BR148" s="2"/>
      <c r="BS148" s="2"/>
      <c r="BT148" s="2"/>
      <c r="BU148" s="2"/>
    </row>
    <row r="149" spans="52:73" x14ac:dyDescent="0.3">
      <c r="AZ149" s="11"/>
      <c r="BA149" s="2"/>
      <c r="BB149" s="2"/>
      <c r="BC149" s="2"/>
      <c r="BD149" s="2"/>
      <c r="BE149" s="2"/>
      <c r="BF149" s="2"/>
      <c r="BG149" s="12">
        <f>(BH149*$C$22-AJ111)/($C$21-$C$22*BG110)</f>
        <v>278.42858544338998</v>
      </c>
      <c r="BH149" s="12">
        <f t="shared" si="477"/>
        <v>371.35088954511752</v>
      </c>
      <c r="BI149" s="12">
        <f t="shared" si="478"/>
        <v>375.06669252443504</v>
      </c>
      <c r="BJ149" s="12">
        <f t="shared" si="479"/>
        <v>378.62187996392555</v>
      </c>
      <c r="BK149" s="12">
        <f t="shared" si="480"/>
        <v>381.94971179925096</v>
      </c>
      <c r="BL149" s="12">
        <f t="shared" si="481"/>
        <v>385.01938456420942</v>
      </c>
      <c r="BM149" s="12">
        <f t="shared" si="482"/>
        <v>387.83394056499435</v>
      </c>
      <c r="BN149" s="12">
        <f t="shared" si="483"/>
        <v>390.42745378383876</v>
      </c>
      <c r="BO149" s="12">
        <f>(BN149*$C$22-AR111)/($C$21-$C$22*BO110)</f>
        <v>293.4270993874735</v>
      </c>
      <c r="BP149" s="2"/>
      <c r="BQ149" s="2"/>
      <c r="BR149" s="2"/>
      <c r="BS149" s="2"/>
      <c r="BT149" s="2"/>
      <c r="BU149" s="2"/>
    </row>
    <row r="150" spans="52:73" x14ac:dyDescent="0.3">
      <c r="AZ150" s="11"/>
      <c r="BA150" s="2"/>
      <c r="BB150" s="2"/>
      <c r="BC150" s="2"/>
      <c r="BD150" s="2"/>
      <c r="BE150" s="2"/>
      <c r="BF150" s="12">
        <f>(BG150*$C$22-AI112)/($C$21-$C$22*BF111)</f>
        <v>254.89510724427475</v>
      </c>
      <c r="BG150" s="12">
        <f t="shared" ref="BA149:BG165" si="484">(BG149*$C$22-AJ112)/($C$21-$C$22*BG111)</f>
        <v>316.94148794876321</v>
      </c>
      <c r="BH150" s="12">
        <f t="shared" si="477"/>
        <v>371.56651794528608</v>
      </c>
      <c r="BI150" s="12">
        <f t="shared" si="478"/>
        <v>374.82203103564126</v>
      </c>
      <c r="BJ150" s="12">
        <f t="shared" si="479"/>
        <v>377.96112906008426</v>
      </c>
      <c r="BK150" s="12">
        <f t="shared" si="480"/>
        <v>380.91000867456165</v>
      </c>
      <c r="BL150" s="12">
        <f t="shared" si="481"/>
        <v>383.62184226917884</v>
      </c>
      <c r="BM150" s="12">
        <f t="shared" si="482"/>
        <v>386.0742655875431</v>
      </c>
      <c r="BN150" s="12">
        <f t="shared" si="483"/>
        <v>388.26571955861237</v>
      </c>
      <c r="BO150" s="12">
        <f t="shared" si="483"/>
        <v>332.93087778252698</v>
      </c>
      <c r="BP150" s="12">
        <f>(BO150*$C$22-AS112)/($C$21-$C$22*BP111)</f>
        <v>268.55833814123139</v>
      </c>
      <c r="BQ150" s="2"/>
      <c r="BR150" s="2"/>
      <c r="BS150" s="2"/>
      <c r="BT150" s="2"/>
      <c r="BU150" s="2"/>
    </row>
    <row r="151" spans="52:73" x14ac:dyDescent="0.3">
      <c r="AZ151" s="11"/>
      <c r="BA151" s="2"/>
      <c r="BB151" s="2"/>
      <c r="BC151" s="2"/>
      <c r="BD151" s="2"/>
      <c r="BE151" s="12">
        <f>(BF151*$C$22-AH113)/($C$21-$C$22*BE112)</f>
        <v>248.29629921144783</v>
      </c>
      <c r="BF151" s="12">
        <f t="shared" si="484"/>
        <v>301.68504377686736</v>
      </c>
      <c r="BG151" s="12">
        <f t="shared" si="484"/>
        <v>337.52565907880745</v>
      </c>
      <c r="BH151" s="12">
        <f t="shared" si="477"/>
        <v>370.246020908986</v>
      </c>
      <c r="BI151" s="12">
        <f t="shared" si="478"/>
        <v>373.29520899945209</v>
      </c>
      <c r="BJ151" s="12">
        <f t="shared" si="479"/>
        <v>376.17221758224207</v>
      </c>
      <c r="BK151" s="12">
        <f t="shared" si="480"/>
        <v>378.80816512288641</v>
      </c>
      <c r="BL151" s="12">
        <f t="shared" si="481"/>
        <v>381.14910971570208</v>
      </c>
      <c r="BM151" s="12">
        <f t="shared" si="482"/>
        <v>383.15380794281594</v>
      </c>
      <c r="BN151" s="12">
        <f t="shared" si="483"/>
        <v>384.78988378977323</v>
      </c>
      <c r="BO151" s="12">
        <f t="shared" si="483"/>
        <v>353.03206991348526</v>
      </c>
      <c r="BP151" s="12">
        <f t="shared" si="483"/>
        <v>317.16500759743434</v>
      </c>
      <c r="BQ151" s="12">
        <f>(BP151*$C$22-AT113)/($C$21-$C$22*BQ112)</f>
        <v>261.73919013729858</v>
      </c>
      <c r="BR151" s="2"/>
      <c r="BS151" s="2"/>
      <c r="BT151" s="2"/>
      <c r="BU151" s="2"/>
    </row>
    <row r="152" spans="52:73" x14ac:dyDescent="0.3">
      <c r="AZ152" s="11"/>
      <c r="BA152" s="2"/>
      <c r="BB152" s="2"/>
      <c r="BC152" s="2"/>
      <c r="BD152" s="12">
        <f>(BE152*$C$22-AG114)/($C$21-$C$22*BD113)</f>
        <v>299.09895220494792</v>
      </c>
      <c r="BE152" s="12">
        <f t="shared" si="484"/>
        <v>419.14077749783957</v>
      </c>
      <c r="BF152" s="12">
        <f t="shared" si="484"/>
        <v>421.49481556752221</v>
      </c>
      <c r="BG152" s="12">
        <f t="shared" si="484"/>
        <v>421.43355179061297</v>
      </c>
      <c r="BH152" s="12">
        <f t="shared" si="477"/>
        <v>425.07584044127105</v>
      </c>
      <c r="BI152" s="12">
        <f t="shared" si="478"/>
        <v>415.12235324549971</v>
      </c>
      <c r="BJ152" s="12">
        <f t="shared" si="479"/>
        <v>407.72479444569711</v>
      </c>
      <c r="BK152" s="12">
        <f t="shared" si="480"/>
        <v>402.1777012294196</v>
      </c>
      <c r="BL152" s="12">
        <f t="shared" si="481"/>
        <v>397.91900547251441</v>
      </c>
      <c r="BM152" s="12">
        <f t="shared" si="482"/>
        <v>394.49595906228376</v>
      </c>
      <c r="BN152" s="12">
        <f t="shared" si="483"/>
        <v>391.53609411716553</v>
      </c>
      <c r="BO152" s="12">
        <f t="shared" si="483"/>
        <v>369.71388097597918</v>
      </c>
      <c r="BP152" s="12">
        <f t="shared" si="483"/>
        <v>346.70345794310754</v>
      </c>
      <c r="BQ152" s="12">
        <f t="shared" si="483"/>
        <v>314.33352578252152</v>
      </c>
      <c r="BR152" s="12">
        <f>(BQ152*$C$22-AU114)/($C$21-$C$22*BR113)</f>
        <v>260.51450077098684</v>
      </c>
      <c r="BS152" s="2"/>
      <c r="BT152" s="2"/>
      <c r="BU152" s="2"/>
    </row>
    <row r="153" spans="52:73" x14ac:dyDescent="0.3">
      <c r="AZ153" s="11"/>
      <c r="BA153" s="2"/>
      <c r="BB153" s="2"/>
      <c r="BC153" s="2"/>
      <c r="BD153" s="12">
        <f t="shared" si="484"/>
        <v>329.20110362227786</v>
      </c>
      <c r="BE153" s="12">
        <f t="shared" si="484"/>
        <v>399.43101080029118</v>
      </c>
      <c r="BF153" s="12">
        <f t="shared" si="484"/>
        <v>402.15846220357713</v>
      </c>
      <c r="BG153" s="12">
        <f t="shared" si="484"/>
        <v>403.58812680203295</v>
      </c>
      <c r="BH153" s="12">
        <f t="shared" si="477"/>
        <v>407.00651697062676</v>
      </c>
      <c r="BI153" s="12">
        <f t="shared" si="478"/>
        <v>402.03185999711576</v>
      </c>
      <c r="BJ153" s="12">
        <f t="shared" si="479"/>
        <v>398.13887381495402</v>
      </c>
      <c r="BK153" s="12">
        <f t="shared" si="480"/>
        <v>395.02781314182766</v>
      </c>
      <c r="BL153" s="12">
        <f t="shared" si="481"/>
        <v>392.43667924772848</v>
      </c>
      <c r="BM153" s="12">
        <f t="shared" si="482"/>
        <v>390.13505672052122</v>
      </c>
      <c r="BN153" s="12">
        <f t="shared" si="483"/>
        <v>387.91680401135147</v>
      </c>
      <c r="BO153" s="12">
        <f t="shared" si="483"/>
        <v>374.64227686703646</v>
      </c>
      <c r="BP153" s="12">
        <f t="shared" si="483"/>
        <v>361.24595288975684</v>
      </c>
      <c r="BQ153" s="12">
        <f t="shared" si="483"/>
        <v>343.72269743535782</v>
      </c>
      <c r="BR153" s="12">
        <f t="shared" si="483"/>
        <v>315.96079142818525</v>
      </c>
      <c r="BS153" s="2"/>
      <c r="BT153" s="2"/>
      <c r="BU153" s="2"/>
    </row>
    <row r="154" spans="52:73" x14ac:dyDescent="0.3">
      <c r="AZ154" s="11"/>
      <c r="BA154" s="2"/>
      <c r="BB154" s="2"/>
      <c r="BC154" s="2"/>
      <c r="BD154" s="12">
        <f t="shared" si="484"/>
        <v>346.54160372606361</v>
      </c>
      <c r="BE154" s="12">
        <f t="shared" si="484"/>
        <v>388.55032522857334</v>
      </c>
      <c r="BF154" s="12">
        <f t="shared" si="484"/>
        <v>391.65623186713094</v>
      </c>
      <c r="BG154" s="12">
        <f t="shared" si="484"/>
        <v>393.89698536910441</v>
      </c>
      <c r="BH154" s="12">
        <f t="shared" si="477"/>
        <v>397.04183667289061</v>
      </c>
      <c r="BI154" s="12">
        <f t="shared" si="478"/>
        <v>394.85873349603901</v>
      </c>
      <c r="BJ154" s="12">
        <f t="shared" si="479"/>
        <v>392.95355918973576</v>
      </c>
      <c r="BK154" s="12">
        <f t="shared" si="480"/>
        <v>391.25154646065187</v>
      </c>
      <c r="BL154" s="12">
        <f t="shared" si="481"/>
        <v>389.66445975491331</v>
      </c>
      <c r="BM154" s="12">
        <f t="shared" si="482"/>
        <v>388.0981525787156</v>
      </c>
      <c r="BN154" s="12">
        <f t="shared" si="483"/>
        <v>386.45674664093013</v>
      </c>
      <c r="BO154" s="12">
        <f t="shared" si="483"/>
        <v>378.33682964461883</v>
      </c>
      <c r="BP154" s="12">
        <f t="shared" si="483"/>
        <v>370.57970187145668</v>
      </c>
      <c r="BQ154" s="12">
        <f t="shared" si="483"/>
        <v>361.39452232526469</v>
      </c>
      <c r="BR154" s="12">
        <f t="shared" si="483"/>
        <v>347.90091409807661</v>
      </c>
      <c r="BS154" s="2"/>
      <c r="BT154" s="2"/>
      <c r="BU154" s="2"/>
    </row>
    <row r="155" spans="52:73" x14ac:dyDescent="0.3">
      <c r="AZ155" s="11"/>
      <c r="BA155" s="2"/>
      <c r="BB155" s="2"/>
      <c r="BC155" s="12">
        <f>(BD155*$C$22-AF117)/($C$21-$C$22*BC116)</f>
        <v>272.18065579020424</v>
      </c>
      <c r="BD155" s="12">
        <f t="shared" si="484"/>
        <v>356.90567618695223</v>
      </c>
      <c r="BE155" s="12">
        <f t="shared" si="484"/>
        <v>382.60199041440495</v>
      </c>
      <c r="BF155" s="12">
        <f t="shared" si="484"/>
        <v>385.77900347181833</v>
      </c>
      <c r="BG155" s="12">
        <f t="shared" si="484"/>
        <v>388.28572432436198</v>
      </c>
      <c r="BH155" s="12">
        <f t="shared" si="477"/>
        <v>391.06595353537006</v>
      </c>
      <c r="BI155" s="12">
        <f t="shared" si="478"/>
        <v>390.36851331385611</v>
      </c>
      <c r="BJ155" s="12">
        <f t="shared" si="479"/>
        <v>389.53071285385016</v>
      </c>
      <c r="BK155" s="12">
        <f t="shared" si="480"/>
        <v>388.58271960140058</v>
      </c>
      <c r="BL155" s="12">
        <f t="shared" si="481"/>
        <v>387.52158994492913</v>
      </c>
      <c r="BM155" s="12">
        <f t="shared" si="482"/>
        <v>386.32298076491827</v>
      </c>
      <c r="BN155" s="12">
        <f t="shared" si="483"/>
        <v>384.94932881710116</v>
      </c>
      <c r="BO155" s="12">
        <f t="shared" si="483"/>
        <v>379.72197161325442</v>
      </c>
      <c r="BP155" s="12">
        <f t="shared" si="483"/>
        <v>374.94599966690851</v>
      </c>
      <c r="BQ155" s="12">
        <f t="shared" si="483"/>
        <v>369.93200430472325</v>
      </c>
      <c r="BR155" s="12">
        <f t="shared" si="483"/>
        <v>363.440642245954</v>
      </c>
      <c r="BS155" s="12">
        <f>(BR155*$C$22-AV117)/($C$21-$C$22*BS116)</f>
        <v>281.75460304755796</v>
      </c>
      <c r="BT155" s="2"/>
      <c r="BU155" s="2"/>
    </row>
    <row r="156" spans="52:73" x14ac:dyDescent="0.3">
      <c r="AZ156" s="11"/>
      <c r="BA156" s="2"/>
      <c r="BB156" s="2"/>
      <c r="BC156" s="12">
        <f t="shared" si="484"/>
        <v>313.69467966942932</v>
      </c>
      <c r="BD156" s="12">
        <f t="shared" si="484"/>
        <v>363.09684826704461</v>
      </c>
      <c r="BE156" s="12">
        <f t="shared" si="484"/>
        <v>379.2694103707081</v>
      </c>
      <c r="BF156" s="12">
        <f t="shared" si="484"/>
        <v>382.34748710276642</v>
      </c>
      <c r="BG156" s="12">
        <f t="shared" si="484"/>
        <v>384.87297618252319</v>
      </c>
      <c r="BH156" s="12">
        <f t="shared" si="477"/>
        <v>387.34044919625569</v>
      </c>
      <c r="BI156" s="12">
        <f t="shared" si="478"/>
        <v>387.4856041009437</v>
      </c>
      <c r="BJ156" s="12">
        <f t="shared" si="479"/>
        <v>387.30859151419207</v>
      </c>
      <c r="BK156" s="12">
        <f t="shared" si="480"/>
        <v>386.88362900188963</v>
      </c>
      <c r="BL156" s="12">
        <f t="shared" si="481"/>
        <v>386.2505526870645</v>
      </c>
      <c r="BM156" s="12">
        <f t="shared" si="482"/>
        <v>385.426331872101</v>
      </c>
      <c r="BN156" s="12">
        <f t="shared" si="483"/>
        <v>384.41394224631711</v>
      </c>
      <c r="BO156" s="12">
        <f t="shared" si="483"/>
        <v>381.11624779349529</v>
      </c>
      <c r="BP156" s="12">
        <f t="shared" si="483"/>
        <v>378.27156620023197</v>
      </c>
      <c r="BQ156" s="12">
        <f t="shared" si="483"/>
        <v>375.72629791238779</v>
      </c>
      <c r="BR156" s="12">
        <f t="shared" si="483"/>
        <v>373.05839286682027</v>
      </c>
      <c r="BS156" s="12">
        <f t="shared" si="483"/>
        <v>328.19626226316416</v>
      </c>
      <c r="BT156" s="2"/>
      <c r="BU156" s="2"/>
    </row>
    <row r="157" spans="52:73" x14ac:dyDescent="0.3">
      <c r="AZ157" s="11"/>
      <c r="BA157" s="2"/>
      <c r="BB157" s="12">
        <f>(BC157*$C$22-AE119)/($C$21-$C$22*BB118)</f>
        <v>263.50226691804824</v>
      </c>
      <c r="BC157" s="12">
        <f t="shared" si="484"/>
        <v>336.84124111452752</v>
      </c>
      <c r="BD157" s="12">
        <f t="shared" si="484"/>
        <v>366.15052033841363</v>
      </c>
      <c r="BE157" s="12">
        <f t="shared" si="484"/>
        <v>376.79881439793081</v>
      </c>
      <c r="BF157" s="12">
        <f t="shared" si="484"/>
        <v>379.76179871778879</v>
      </c>
      <c r="BG157" s="12">
        <f t="shared" si="484"/>
        <v>382.2339549215468</v>
      </c>
      <c r="BH157" s="12">
        <f t="shared" si="477"/>
        <v>384.46799560018491</v>
      </c>
      <c r="BI157" s="12">
        <f t="shared" si="478"/>
        <v>385.09314409752204</v>
      </c>
      <c r="BJ157" s="12">
        <f t="shared" si="479"/>
        <v>385.31524464074471</v>
      </c>
      <c r="BK157" s="12">
        <f t="shared" si="480"/>
        <v>385.21822551537548</v>
      </c>
      <c r="BL157" s="12">
        <f t="shared" si="481"/>
        <v>384.85640346458848</v>
      </c>
      <c r="BM157" s="12">
        <f t="shared" si="482"/>
        <v>384.26368264674261</v>
      </c>
      <c r="BN157" s="12">
        <f t="shared" si="483"/>
        <v>383.46107750829032</v>
      </c>
      <c r="BO157" s="12">
        <f t="shared" si="483"/>
        <v>381.25725321660769</v>
      </c>
      <c r="BP157" s="12">
        <f t="shared" si="483"/>
        <v>379.3984951987569</v>
      </c>
      <c r="BQ157" s="12">
        <f t="shared" si="483"/>
        <v>377.94970486170354</v>
      </c>
      <c r="BR157" s="12">
        <f t="shared" si="483"/>
        <v>376.84215172016241</v>
      </c>
      <c r="BS157" s="12">
        <f t="shared" si="483"/>
        <v>352.06791174861172</v>
      </c>
      <c r="BT157" s="12">
        <f>(BS157*$C$22-AW119)/($C$21-$C$22*BT118)</f>
        <v>276.83560196739262</v>
      </c>
      <c r="BU157" s="2"/>
    </row>
    <row r="158" spans="52:73" x14ac:dyDescent="0.3">
      <c r="AZ158" s="11"/>
      <c r="BA158" s="12">
        <f>(BB158*$C$22-AD120)/($C$21-$C$22*BA119)</f>
        <v>250.369398312979</v>
      </c>
      <c r="BB158" s="12">
        <f t="shared" si="484"/>
        <v>306.47804889960747</v>
      </c>
      <c r="BC158" s="12">
        <f t="shared" si="484"/>
        <v>348.78617551710084</v>
      </c>
      <c r="BD158" s="12">
        <f t="shared" si="484"/>
        <v>366.82837204578937</v>
      </c>
      <c r="BE158" s="12">
        <f t="shared" si="484"/>
        <v>374.36228261154145</v>
      </c>
      <c r="BF158" s="12">
        <f t="shared" si="484"/>
        <v>377.29519220892735</v>
      </c>
      <c r="BG158" s="12">
        <f t="shared" si="484"/>
        <v>379.75509447872713</v>
      </c>
      <c r="BH158" s="12">
        <f t="shared" si="477"/>
        <v>381.86962021302986</v>
      </c>
      <c r="BI158" s="12">
        <f t="shared" si="478"/>
        <v>382.80926378530143</v>
      </c>
      <c r="BJ158" s="12">
        <f t="shared" si="479"/>
        <v>383.30725954008875</v>
      </c>
      <c r="BK158" s="12">
        <f t="shared" si="480"/>
        <v>383.44299544490565</v>
      </c>
      <c r="BL158" s="12">
        <f t="shared" si="481"/>
        <v>383.27223478975185</v>
      </c>
      <c r="BM158" s="12">
        <f t="shared" si="482"/>
        <v>382.833611136831</v>
      </c>
      <c r="BN158" s="12">
        <f t="shared" si="483"/>
        <v>382.15421527840437</v>
      </c>
      <c r="BO158" s="12">
        <f t="shared" si="483"/>
        <v>380.55986384014807</v>
      </c>
      <c r="BP158" s="12">
        <f t="shared" si="483"/>
        <v>379.16446977114379</v>
      </c>
      <c r="BQ158" s="12">
        <f t="shared" si="483"/>
        <v>378.09790446919033</v>
      </c>
      <c r="BR158" s="12">
        <f t="shared" si="483"/>
        <v>377.41711025462911</v>
      </c>
      <c r="BS158" s="12">
        <f t="shared" si="483"/>
        <v>363.41024425498631</v>
      </c>
      <c r="BT158" s="12">
        <f t="shared" si="483"/>
        <v>321.48865167163103</v>
      </c>
      <c r="BU158" s="12">
        <f>(BT158*$C$22-AX120)/($C$21-$C$22*BU119)</f>
        <v>263.60927840468469</v>
      </c>
    </row>
    <row r="159" spans="52:73" x14ac:dyDescent="0.3">
      <c r="AZ159" s="11"/>
      <c r="BA159" s="12">
        <f t="shared" si="484"/>
        <v>301.13019192558443</v>
      </c>
      <c r="BB159" s="12">
        <f t="shared" si="484"/>
        <v>331.79104458003064</v>
      </c>
      <c r="BC159" s="12">
        <f t="shared" si="484"/>
        <v>356.32161150458433</v>
      </c>
      <c r="BD159" s="12">
        <f t="shared" si="484"/>
        <v>367.67889313339765</v>
      </c>
      <c r="BE159" s="12">
        <f t="shared" si="484"/>
        <v>373.15879506398011</v>
      </c>
      <c r="BF159" s="12">
        <f t="shared" si="484"/>
        <v>375.87419145047716</v>
      </c>
      <c r="BG159" s="12">
        <f t="shared" si="484"/>
        <v>378.18043454089951</v>
      </c>
      <c r="BH159" s="12">
        <f t="shared" si="477"/>
        <v>380.13119494356181</v>
      </c>
      <c r="BI159" s="12">
        <f t="shared" si="478"/>
        <v>381.21828414340303</v>
      </c>
      <c r="BJ159" s="12">
        <f t="shared" si="479"/>
        <v>381.8876157020739</v>
      </c>
      <c r="BK159" s="12">
        <f t="shared" si="480"/>
        <v>382.2066237198718</v>
      </c>
      <c r="BL159" s="12">
        <f t="shared" si="481"/>
        <v>382.22723065965772</v>
      </c>
      <c r="BM159" s="12">
        <f t="shared" si="482"/>
        <v>381.9899944854854</v>
      </c>
      <c r="BN159" s="12">
        <f t="shared" si="483"/>
        <v>381.52804977962791</v>
      </c>
      <c r="BO159" s="12">
        <f t="shared" si="483"/>
        <v>380.47071861381363</v>
      </c>
      <c r="BP159" s="12">
        <f t="shared" si="483"/>
        <v>379.54044890689454</v>
      </c>
      <c r="BQ159" s="12">
        <f t="shared" si="483"/>
        <v>378.88309568973432</v>
      </c>
      <c r="BR159" s="12">
        <f t="shared" si="483"/>
        <v>378.60335882492751</v>
      </c>
      <c r="BS159" s="12">
        <f t="shared" si="483"/>
        <v>370.88507536836926</v>
      </c>
      <c r="BT159" s="12">
        <f t="shared" si="483"/>
        <v>347.93459938652609</v>
      </c>
      <c r="BU159" s="12">
        <f t="shared" si="483"/>
        <v>317.74355409989192</v>
      </c>
    </row>
    <row r="160" spans="52:73" x14ac:dyDescent="0.3">
      <c r="AZ160" s="11"/>
      <c r="BA160" s="12">
        <f t="shared" si="484"/>
        <v>330.37120977517054</v>
      </c>
      <c r="BB160" s="12">
        <f t="shared" si="484"/>
        <v>346.8849216357936</v>
      </c>
      <c r="BC160" s="12">
        <f t="shared" si="484"/>
        <v>361.22596233219332</v>
      </c>
      <c r="BD160" s="12">
        <f t="shared" si="484"/>
        <v>368.56106288506095</v>
      </c>
      <c r="BE160" s="12">
        <f t="shared" si="484"/>
        <v>372.64626625497942</v>
      </c>
      <c r="BF160" s="12">
        <f t="shared" si="484"/>
        <v>375.07160661845211</v>
      </c>
      <c r="BG160" s="12">
        <f t="shared" si="484"/>
        <v>377.16794995627293</v>
      </c>
      <c r="BH160" s="12">
        <f t="shared" si="477"/>
        <v>378.94532539899058</v>
      </c>
      <c r="BI160" s="12">
        <f t="shared" si="478"/>
        <v>380.08665193815563</v>
      </c>
      <c r="BJ160" s="12">
        <f t="shared" si="479"/>
        <v>380.86200879661828</v>
      </c>
      <c r="BK160" s="12">
        <f t="shared" si="480"/>
        <v>381.32509228037156</v>
      </c>
      <c r="BL160" s="12">
        <f t="shared" si="481"/>
        <v>381.52169271907923</v>
      </c>
      <c r="BM160" s="12">
        <f t="shared" si="482"/>
        <v>381.49202421936371</v>
      </c>
      <c r="BN160" s="12">
        <f t="shared" si="483"/>
        <v>381.27333948224936</v>
      </c>
      <c r="BO160" s="12">
        <f t="shared" si="483"/>
        <v>380.67223299917026</v>
      </c>
      <c r="BP160" s="12">
        <f t="shared" si="483"/>
        <v>380.16669391672133</v>
      </c>
      <c r="BQ160" s="12">
        <f t="shared" si="483"/>
        <v>379.89680255911475</v>
      </c>
      <c r="BR160" s="12">
        <f t="shared" si="483"/>
        <v>379.97848741583533</v>
      </c>
      <c r="BS160" s="12">
        <f t="shared" si="483"/>
        <v>375.96954163564743</v>
      </c>
      <c r="BT160" s="12">
        <f t="shared" si="483"/>
        <v>363.80647507662752</v>
      </c>
      <c r="BU160" s="12">
        <f t="shared" si="483"/>
        <v>348.92788376105949</v>
      </c>
    </row>
    <row r="161" spans="52:73" x14ac:dyDescent="0.3">
      <c r="AZ161" s="11"/>
      <c r="BA161" s="12">
        <f t="shared" si="484"/>
        <v>347.21564943080836</v>
      </c>
      <c r="BB161" s="12">
        <f t="shared" si="484"/>
        <v>355.9952648885286</v>
      </c>
      <c r="BC161" s="12">
        <f t="shared" si="484"/>
        <v>364.49820257888484</v>
      </c>
      <c r="BD161" s="12">
        <f t="shared" si="484"/>
        <v>369.38336127972178</v>
      </c>
      <c r="BE161" s="12">
        <f t="shared" si="484"/>
        <v>372.50440486481153</v>
      </c>
      <c r="BF161" s="12">
        <f t="shared" si="484"/>
        <v>374.63466499826308</v>
      </c>
      <c r="BG161" s="12">
        <f t="shared" si="484"/>
        <v>376.51447518349244</v>
      </c>
      <c r="BH161" s="12">
        <f t="shared" si="477"/>
        <v>378.12915895773205</v>
      </c>
      <c r="BI161" s="12">
        <f t="shared" si="478"/>
        <v>379.27611967677353</v>
      </c>
      <c r="BJ161" s="12">
        <f t="shared" si="479"/>
        <v>380.11750327614726</v>
      </c>
      <c r="BK161" s="12">
        <f t="shared" si="480"/>
        <v>380.69427668380979</v>
      </c>
      <c r="BL161" s="12">
        <f t="shared" si="481"/>
        <v>381.04551031852208</v>
      </c>
      <c r="BM161" s="12">
        <f t="shared" si="482"/>
        <v>381.20941481159753</v>
      </c>
      <c r="BN161" s="12">
        <f t="shared" si="483"/>
        <v>381.22492646221616</v>
      </c>
      <c r="BO161" s="12">
        <f t="shared" si="483"/>
        <v>381.00091411603046</v>
      </c>
      <c r="BP161" s="12">
        <f t="shared" si="483"/>
        <v>380.86065543364396</v>
      </c>
      <c r="BQ161" s="12">
        <f t="shared" si="483"/>
        <v>380.92951547685402</v>
      </c>
      <c r="BR161" s="12">
        <f t="shared" si="483"/>
        <v>381.31795793225592</v>
      </c>
      <c r="BS161" s="12">
        <f t="shared" si="483"/>
        <v>379.51205425929817</v>
      </c>
      <c r="BT161" s="12">
        <f t="shared" si="483"/>
        <v>373.46139799617492</v>
      </c>
      <c r="BU161" s="12">
        <f t="shared" si="483"/>
        <v>366.89177824247156</v>
      </c>
    </row>
    <row r="162" spans="52:73" x14ac:dyDescent="0.3">
      <c r="AZ162" s="11"/>
      <c r="BA162" s="12">
        <f t="shared" si="484"/>
        <v>356.91897606505682</v>
      </c>
      <c r="BB162" s="12">
        <f t="shared" si="484"/>
        <v>361.5598548185406</v>
      </c>
      <c r="BC162" s="12">
        <f t="shared" si="484"/>
        <v>366.7231697665772</v>
      </c>
      <c r="BD162" s="12">
        <f t="shared" si="484"/>
        <v>370.10091113463409</v>
      </c>
      <c r="BE162" s="12">
        <f t="shared" si="484"/>
        <v>372.54926738083776</v>
      </c>
      <c r="BF162" s="12">
        <f t="shared" si="484"/>
        <v>374.41348219661654</v>
      </c>
      <c r="BG162" s="12">
        <f t="shared" si="484"/>
        <v>376.09548331332468</v>
      </c>
      <c r="BH162" s="12">
        <f t="shared" si="477"/>
        <v>377.56798235082385</v>
      </c>
      <c r="BI162" s="12">
        <f t="shared" si="478"/>
        <v>378.69789953089338</v>
      </c>
      <c r="BJ162" s="12">
        <f t="shared" si="479"/>
        <v>379.58118559538877</v>
      </c>
      <c r="BK162" s="12">
        <f t="shared" si="480"/>
        <v>380.24819237168884</v>
      </c>
      <c r="BL162" s="12">
        <f t="shared" si="481"/>
        <v>380.73156879110854</v>
      </c>
      <c r="BM162" s="12">
        <f t="shared" si="482"/>
        <v>381.06644528319231</v>
      </c>
      <c r="BN162" s="12">
        <f t="shared" si="483"/>
        <v>381.29124747747079</v>
      </c>
      <c r="BO162" s="12">
        <f t="shared" si="483"/>
        <v>381.37249065229497</v>
      </c>
      <c r="BP162" s="12">
        <f t="shared" si="483"/>
        <v>381.53378071573786</v>
      </c>
      <c r="BQ162" s="12">
        <f t="shared" si="483"/>
        <v>381.88290655596148</v>
      </c>
      <c r="BR162" s="12">
        <f t="shared" si="483"/>
        <v>382.51782852290199</v>
      </c>
      <c r="BS162" s="12">
        <f t="shared" si="483"/>
        <v>382.02415359289796</v>
      </c>
      <c r="BT162" s="12">
        <f t="shared" si="483"/>
        <v>379.41494951593398</v>
      </c>
      <c r="BU162" s="12">
        <f t="shared" si="483"/>
        <v>377.23997262232876</v>
      </c>
    </row>
    <row r="163" spans="52:73" x14ac:dyDescent="0.3">
      <c r="AZ163" s="11"/>
      <c r="BA163" s="12">
        <f t="shared" si="484"/>
        <v>362.50862758780141</v>
      </c>
      <c r="BB163" s="12">
        <f t="shared" si="484"/>
        <v>364.99823327399326</v>
      </c>
      <c r="BC163" s="12">
        <f t="shared" si="484"/>
        <v>368.25751606015848</v>
      </c>
      <c r="BD163" s="12">
        <f t="shared" si="484"/>
        <v>370.7007225381368</v>
      </c>
      <c r="BE163" s="12">
        <f t="shared" si="484"/>
        <v>372.67838190457474</v>
      </c>
      <c r="BF163" s="12">
        <f t="shared" si="484"/>
        <v>374.31892672609575</v>
      </c>
      <c r="BG163" s="12">
        <f t="shared" si="484"/>
        <v>375.83232567772086</v>
      </c>
      <c r="BH163" s="12">
        <f t="shared" si="477"/>
        <v>377.18634239796762</v>
      </c>
      <c r="BI163" s="12">
        <f t="shared" si="478"/>
        <v>378.29098348432541</v>
      </c>
      <c r="BJ163" s="12">
        <f t="shared" si="479"/>
        <v>379.20181229630771</v>
      </c>
      <c r="BK163" s="12">
        <f t="shared" si="480"/>
        <v>379.94088067483705</v>
      </c>
      <c r="BL163" s="12">
        <f t="shared" si="481"/>
        <v>380.53511370881904</v>
      </c>
      <c r="BM163" s="12">
        <f t="shared" si="482"/>
        <v>381.01597814504777</v>
      </c>
      <c r="BN163" s="12">
        <f t="shared" si="483"/>
        <v>381.41973906544928</v>
      </c>
      <c r="BO163" s="12">
        <f t="shared" si="483"/>
        <v>381.74409210932134</v>
      </c>
      <c r="BP163" s="12">
        <f t="shared" si="483"/>
        <v>382.14703300451731</v>
      </c>
      <c r="BQ163" s="12">
        <f t="shared" si="483"/>
        <v>382.71880131559232</v>
      </c>
      <c r="BR163" s="12">
        <f t="shared" si="483"/>
        <v>383.54259261301047</v>
      </c>
      <c r="BS163" s="12">
        <f t="shared" si="483"/>
        <v>383.82879533022788</v>
      </c>
      <c r="BT163" s="12">
        <f t="shared" si="483"/>
        <v>383.13669298685511</v>
      </c>
      <c r="BU163" s="12">
        <f t="shared" si="483"/>
        <v>383.20110354714643</v>
      </c>
    </row>
    <row r="164" spans="52:73" x14ac:dyDescent="0.3">
      <c r="AZ164" s="11"/>
      <c r="BA164" s="12">
        <f t="shared" si="484"/>
        <v>365.72857527413845</v>
      </c>
      <c r="BB164" s="12">
        <f t="shared" si="484"/>
        <v>367.14680572867042</v>
      </c>
      <c r="BC164" s="12">
        <f t="shared" si="484"/>
        <v>369.32689499090839</v>
      </c>
      <c r="BD164" s="12">
        <f t="shared" si="484"/>
        <v>371.18800408369378</v>
      </c>
      <c r="BE164" s="12">
        <f t="shared" si="484"/>
        <v>372.83680989465034</v>
      </c>
      <c r="BF164" s="12">
        <f t="shared" si="484"/>
        <v>374.29785825370624</v>
      </c>
      <c r="BG164" s="12">
        <f t="shared" si="484"/>
        <v>375.67398569538028</v>
      </c>
      <c r="BH164" s="12">
        <f t="shared" si="477"/>
        <v>376.93268896480976</v>
      </c>
      <c r="BI164" s="12">
        <f t="shared" si="478"/>
        <v>378.01141534114754</v>
      </c>
      <c r="BJ164" s="12">
        <f t="shared" si="479"/>
        <v>378.94133587478018</v>
      </c>
      <c r="BK164" s="12">
        <f t="shared" si="480"/>
        <v>379.73829339012542</v>
      </c>
      <c r="BL164" s="12">
        <f t="shared" si="481"/>
        <v>380.42431296003991</v>
      </c>
      <c r="BM164" s="12">
        <f t="shared" si="482"/>
        <v>381.02699333259022</v>
      </c>
      <c r="BN164" s="12">
        <f t="shared" si="483"/>
        <v>381.57937998311161</v>
      </c>
      <c r="BO164" s="12">
        <f t="shared" si="483"/>
        <v>382.09480675441517</v>
      </c>
      <c r="BP164" s="12">
        <f t="shared" si="483"/>
        <v>382.6870334530534</v>
      </c>
      <c r="BQ164" s="12">
        <f t="shared" si="483"/>
        <v>383.43011334962205</v>
      </c>
      <c r="BR164" s="12">
        <f t="shared" si="483"/>
        <v>384.39258774609101</v>
      </c>
      <c r="BS164" s="12">
        <f t="shared" si="483"/>
        <v>385.1380730528723</v>
      </c>
      <c r="BT164" s="12">
        <f t="shared" si="483"/>
        <v>385.49551788253837</v>
      </c>
      <c r="BU164" s="12">
        <f t="shared" si="483"/>
        <v>386.63504386546776</v>
      </c>
    </row>
    <row r="165" spans="52:73" x14ac:dyDescent="0.3">
      <c r="AZ165" s="11"/>
      <c r="BA165" s="12">
        <f t="shared" si="484"/>
        <v>367.58344280220507</v>
      </c>
      <c r="BB165" s="12">
        <f t="shared" si="484"/>
        <v>368.5041883832659</v>
      </c>
      <c r="BC165" s="12">
        <f t="shared" si="484"/>
        <v>370.07850438724739</v>
      </c>
      <c r="BD165" s="12">
        <f t="shared" si="484"/>
        <v>371.57653600069057</v>
      </c>
      <c r="BE165" s="12">
        <f t="shared" si="484"/>
        <v>372.99670391922911</v>
      </c>
      <c r="BF165" s="12">
        <f t="shared" si="484"/>
        <v>374.31855200826919</v>
      </c>
      <c r="BG165" s="12">
        <f t="shared" si="484"/>
        <v>375.58662319470511</v>
      </c>
      <c r="BH165" s="12">
        <f t="shared" si="477"/>
        <v>376.77080694720252</v>
      </c>
      <c r="BI165" s="12">
        <f t="shared" si="478"/>
        <v>377.8265982022873</v>
      </c>
      <c r="BJ165" s="12">
        <f t="shared" si="479"/>
        <v>378.77067467695991</v>
      </c>
      <c r="BK165" s="12">
        <f t="shared" si="480"/>
        <v>379.61438293258368</v>
      </c>
      <c r="BL165" s="12">
        <f t="shared" si="481"/>
        <v>380.37565626589389</v>
      </c>
      <c r="BM165" s="12">
        <f t="shared" si="482"/>
        <v>381.07828863326819</v>
      </c>
      <c r="BN165" s="12">
        <f t="shared" si="483"/>
        <v>381.75155989947694</v>
      </c>
      <c r="BO165" s="12">
        <f t="shared" si="483"/>
        <v>382.41548418212449</v>
      </c>
      <c r="BP165" s="12">
        <f t="shared" si="483"/>
        <v>383.15325148133172</v>
      </c>
      <c r="BQ165" s="12">
        <f t="shared" si="483"/>
        <v>384.02464675315053</v>
      </c>
      <c r="BR165" s="12">
        <f t="shared" si="483"/>
        <v>385.08480517965234</v>
      </c>
      <c r="BS165" s="12">
        <f t="shared" si="483"/>
        <v>386.09564940089564</v>
      </c>
      <c r="BT165" s="12">
        <f t="shared" si="483"/>
        <v>387.01144663441943</v>
      </c>
      <c r="BU165" s="12">
        <f t="shared" si="483"/>
        <v>388.61318295660897</v>
      </c>
    </row>
  </sheetData>
  <mergeCells count="10">
    <mergeCell ref="AZ131:AZ165"/>
    <mergeCell ref="C91:C127"/>
    <mergeCell ref="AC93:AC127"/>
    <mergeCell ref="AZ93:AZ127"/>
    <mergeCell ref="A20:A22"/>
    <mergeCell ref="A15:A17"/>
    <mergeCell ref="AC54:AC88"/>
    <mergeCell ref="AZ54:AZ88"/>
    <mergeCell ref="AZ16:AZ50"/>
    <mergeCell ref="C54:C88"/>
  </mergeCells>
  <conditionalFormatting sqref="AA15:AJ45">
    <cfRule type="colorScale" priority="5">
      <colorScale>
        <cfvo type="min"/>
        <cfvo type="max"/>
        <color theme="3" tint="0.39997558519241921"/>
        <color rgb="FFF94141"/>
      </colorScale>
    </cfRule>
    <cfRule type="colorScale" priority="6">
      <colorScale>
        <cfvo type="min"/>
        <cfvo type="max"/>
        <color rgb="FFF94141"/>
        <color theme="3" tint="0.39997558519241921"/>
      </colorScale>
    </cfRule>
  </conditionalFormatting>
  <conditionalFormatting sqref="AA15:AJ45">
    <cfRule type="colorScale" priority="8">
      <colorScale>
        <cfvo type="min"/>
        <cfvo type="max"/>
        <color theme="4"/>
        <color rgb="FFFF0000"/>
      </colorScale>
    </cfRule>
  </conditionalFormatting>
  <conditionalFormatting sqref="A79:A110">
    <cfRule type="colorScale" priority="5">
      <colorScale>
        <cfvo type="min"/>
        <cfvo type="max"/>
        <color theme="4"/>
        <color rgb="FFFF0000"/>
      </colorScale>
    </cfRule>
  </conditionalFormatting>
  <conditionalFormatting sqref="F15:Z49">
    <cfRule type="colorScale" priority="1">
      <colorScale>
        <cfvo type="min"/>
        <cfvo type="max"/>
        <color theme="4"/>
        <color theme="9" tint="0.39997558519241921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Диск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User</cp:lastModifiedBy>
  <dcterms:created xsi:type="dcterms:W3CDTF">2021-02-19T09:41:52Z</dcterms:created>
  <dcterms:modified xsi:type="dcterms:W3CDTF">2021-04-01T17:13:40Z</dcterms:modified>
</cp:coreProperties>
</file>