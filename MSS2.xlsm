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Учеба\МСС\МСС2\"/>
    </mc:Choice>
  </mc:AlternateContent>
  <bookViews>
    <workbookView xWindow="0" yWindow="0" windowWidth="23040" windowHeight="9528" activeTab="2"/>
  </bookViews>
  <sheets>
    <sheet name="Явная схема" sheetId="6" r:id="rId1"/>
    <sheet name=" Неявная схема 1-ый род" sheetId="5" r:id="rId2"/>
    <sheet name="Неявн схема 2-й род" sheetId="7" r:id="rId3"/>
  </sheets>
  <calcPr calcId="152511"/>
</workbook>
</file>

<file path=xl/calcChain.xml><?xml version="1.0" encoding="utf-8"?>
<calcChain xmlns="http://schemas.openxmlformats.org/spreadsheetml/2006/main">
  <c r="H18" i="7" l="1"/>
  <c r="I18" i="7"/>
  <c r="J18" i="7"/>
  <c r="K18" i="7"/>
  <c r="L18" i="7"/>
  <c r="M18" i="7"/>
  <c r="N18" i="7"/>
  <c r="O18" i="7"/>
  <c r="P18" i="7"/>
  <c r="Q18" i="7"/>
  <c r="R18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F15" i="7"/>
  <c r="AJ15" i="7"/>
  <c r="C3" i="7"/>
  <c r="G14" i="7" s="1"/>
  <c r="H14" i="7" s="1"/>
  <c r="I14" i="7" s="1"/>
  <c r="J14" i="7" s="1"/>
  <c r="K14" i="7" s="1"/>
  <c r="L14" i="7" s="1"/>
  <c r="M14" i="7" s="1"/>
  <c r="N14" i="7" s="1"/>
  <c r="O14" i="7" s="1"/>
  <c r="P14" i="7" s="1"/>
  <c r="Q14" i="7" s="1"/>
  <c r="R14" i="7" s="1"/>
  <c r="S14" i="7" s="1"/>
  <c r="T14" i="7" s="1"/>
  <c r="U14" i="7" s="1"/>
  <c r="V14" i="7" s="1"/>
  <c r="W14" i="7" s="1"/>
  <c r="X14" i="7" s="1"/>
  <c r="Y14" i="7" s="1"/>
  <c r="Z14" i="7" s="1"/>
  <c r="AA14" i="7" s="1"/>
  <c r="AB14" i="7" s="1"/>
  <c r="AC14" i="7" s="1"/>
  <c r="AD14" i="7" s="1"/>
  <c r="AE14" i="7" s="1"/>
  <c r="AF14" i="7" s="1"/>
  <c r="AG14" i="7" s="1"/>
  <c r="AH14" i="7" s="1"/>
  <c r="AI14" i="7" s="1"/>
  <c r="AJ14" i="7" s="1"/>
  <c r="J21" i="7" l="1"/>
  <c r="C15" i="7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G17" i="6"/>
  <c r="AJ15" i="6"/>
  <c r="F15" i="6"/>
  <c r="C3" i="6"/>
  <c r="G14" i="6" s="1"/>
  <c r="H14" i="6" s="1"/>
  <c r="I14" i="6" s="1"/>
  <c r="J14" i="6" s="1"/>
  <c r="K14" i="6" s="1"/>
  <c r="L14" i="6" s="1"/>
  <c r="M14" i="6" s="1"/>
  <c r="N14" i="6" s="1"/>
  <c r="O14" i="6" s="1"/>
  <c r="P14" i="6" s="1"/>
  <c r="Q14" i="6" s="1"/>
  <c r="R14" i="6" s="1"/>
  <c r="S14" i="6" s="1"/>
  <c r="T14" i="6" s="1"/>
  <c r="U14" i="6" s="1"/>
  <c r="V14" i="6" s="1"/>
  <c r="W14" i="6" s="1"/>
  <c r="X14" i="6" s="1"/>
  <c r="Y14" i="6" s="1"/>
  <c r="Z14" i="6" s="1"/>
  <c r="AA14" i="6" s="1"/>
  <c r="AB14" i="6" s="1"/>
  <c r="AC14" i="6" s="1"/>
  <c r="AD14" i="6" s="1"/>
  <c r="AE14" i="6" s="1"/>
  <c r="AF14" i="6" s="1"/>
  <c r="AG14" i="6" s="1"/>
  <c r="AH14" i="6" s="1"/>
  <c r="AI14" i="6" s="1"/>
  <c r="AJ14" i="6" s="1"/>
  <c r="AI21" i="7" l="1"/>
  <c r="C16" i="7"/>
  <c r="AB21" i="7"/>
  <c r="AD21" i="7"/>
  <c r="R21" i="7"/>
  <c r="M21" i="7"/>
  <c r="AG21" i="7"/>
  <c r="S21" i="7"/>
  <c r="Y21" i="7"/>
  <c r="AC21" i="7"/>
  <c r="K21" i="7"/>
  <c r="Q21" i="7"/>
  <c r="AE21" i="7"/>
  <c r="N21" i="7"/>
  <c r="AF21" i="7"/>
  <c r="X21" i="7"/>
  <c r="T21" i="7"/>
  <c r="H21" i="7"/>
  <c r="V21" i="7"/>
  <c r="AH21" i="7"/>
  <c r="I21" i="7"/>
  <c r="W21" i="7"/>
  <c r="U21" i="7"/>
  <c r="G21" i="7"/>
  <c r="P21" i="7"/>
  <c r="AA21" i="7"/>
  <c r="Z21" i="7"/>
  <c r="O21" i="7"/>
  <c r="L21" i="7"/>
  <c r="C17" i="7"/>
  <c r="C15" i="6"/>
  <c r="C17" i="6" s="1"/>
  <c r="C4" i="6"/>
  <c r="C16" i="6" s="1"/>
  <c r="G19" i="7" l="1"/>
  <c r="F15" i="5"/>
  <c r="F20" i="5" s="1"/>
  <c r="AJ15" i="5"/>
  <c r="C3" i="5"/>
  <c r="C4" i="5" s="1"/>
  <c r="N21" i="5" s="1"/>
  <c r="H19" i="7" l="1"/>
  <c r="AC21" i="5"/>
  <c r="U21" i="5"/>
  <c r="M21" i="5"/>
  <c r="F21" i="5"/>
  <c r="AB21" i="5"/>
  <c r="T21" i="5"/>
  <c r="L21" i="5"/>
  <c r="K21" i="5"/>
  <c r="C15" i="5"/>
  <c r="AH21" i="5"/>
  <c r="Z21" i="5"/>
  <c r="R21" i="5"/>
  <c r="J21" i="5"/>
  <c r="AI21" i="5"/>
  <c r="AA21" i="5"/>
  <c r="S21" i="5"/>
  <c r="C16" i="5"/>
  <c r="AG21" i="5"/>
  <c r="Y21" i="5"/>
  <c r="Q21" i="5"/>
  <c r="I21" i="5"/>
  <c r="H21" i="5"/>
  <c r="AF21" i="5"/>
  <c r="X21" i="5"/>
  <c r="P21" i="5"/>
  <c r="AE21" i="5"/>
  <c r="W21" i="5"/>
  <c r="O21" i="5"/>
  <c r="G21" i="5"/>
  <c r="AD21" i="5"/>
  <c r="V21" i="5"/>
  <c r="G14" i="5"/>
  <c r="H14" i="5" s="1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W14" i="5" s="1"/>
  <c r="X14" i="5" s="1"/>
  <c r="Y14" i="5" s="1"/>
  <c r="Z14" i="5" s="1"/>
  <c r="AA14" i="5" s="1"/>
  <c r="AB14" i="5" s="1"/>
  <c r="AC14" i="5" s="1"/>
  <c r="AD14" i="5" s="1"/>
  <c r="AE14" i="5" s="1"/>
  <c r="AF14" i="5" s="1"/>
  <c r="AG14" i="5" s="1"/>
  <c r="AH14" i="5" s="1"/>
  <c r="AI14" i="5" s="1"/>
  <c r="AJ14" i="5" s="1"/>
  <c r="I19" i="7" l="1"/>
  <c r="C17" i="5"/>
  <c r="G20" i="5" s="1"/>
  <c r="J19" i="7" l="1"/>
  <c r="G19" i="5"/>
  <c r="H19" i="5" s="1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W19" i="5" s="1"/>
  <c r="X19" i="5" s="1"/>
  <c r="Y19" i="5" s="1"/>
  <c r="Z19" i="5" s="1"/>
  <c r="AA19" i="5" s="1"/>
  <c r="AB19" i="5" s="1"/>
  <c r="AC19" i="5" s="1"/>
  <c r="AD19" i="5" s="1"/>
  <c r="AE19" i="5" s="1"/>
  <c r="AF19" i="5" s="1"/>
  <c r="AG19" i="5" s="1"/>
  <c r="AH19" i="5" s="1"/>
  <c r="AI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W20" i="5" s="1"/>
  <c r="X20" i="5" s="1"/>
  <c r="Y20" i="5" s="1"/>
  <c r="Z20" i="5" s="1"/>
  <c r="AA20" i="5" s="1"/>
  <c r="AB20" i="5" s="1"/>
  <c r="AC20" i="5" s="1"/>
  <c r="AD20" i="5" s="1"/>
  <c r="AE20" i="5" s="1"/>
  <c r="AF20" i="5" s="1"/>
  <c r="AG20" i="5" s="1"/>
  <c r="AH20" i="5" s="1"/>
  <c r="AI20" i="5" s="1"/>
  <c r="AI17" i="5" s="1"/>
  <c r="AH17" i="5" s="1"/>
  <c r="AG17" i="5" s="1"/>
  <c r="AF17" i="5" s="1"/>
  <c r="AE17" i="5" s="1"/>
  <c r="AD17" i="5" s="1"/>
  <c r="AC17" i="5" s="1"/>
  <c r="AB17" i="5" s="1"/>
  <c r="AA17" i="5" s="1"/>
  <c r="Z17" i="5" s="1"/>
  <c r="Y17" i="5" s="1"/>
  <c r="X17" i="5" s="1"/>
  <c r="W17" i="5" s="1"/>
  <c r="V17" i="5" s="1"/>
  <c r="U17" i="5" s="1"/>
  <c r="T17" i="5" s="1"/>
  <c r="S17" i="5" s="1"/>
  <c r="R17" i="5" s="1"/>
  <c r="Q17" i="5" s="1"/>
  <c r="P17" i="5" s="1"/>
  <c r="O17" i="5" s="1"/>
  <c r="N17" i="5" s="1"/>
  <c r="M17" i="5" s="1"/>
  <c r="L17" i="5" s="1"/>
  <c r="K17" i="5" s="1"/>
  <c r="J17" i="5" s="1"/>
  <c r="I17" i="5" s="1"/>
  <c r="H17" i="5" s="1"/>
  <c r="G17" i="5" s="1"/>
  <c r="K19" i="7" l="1"/>
  <c r="L19" i="7" l="1"/>
  <c r="M19" i="7" l="1"/>
  <c r="N19" i="7" l="1"/>
  <c r="O19" i="7" l="1"/>
  <c r="P19" i="7" l="1"/>
  <c r="Q19" i="7" l="1"/>
  <c r="R19" i="7" l="1"/>
  <c r="S19" i="7" l="1"/>
  <c r="T19" i="7" l="1"/>
  <c r="U19" i="7" l="1"/>
  <c r="V19" i="7" l="1"/>
  <c r="W19" i="7" l="1"/>
  <c r="X19" i="7" l="1"/>
  <c r="Y19" i="7" l="1"/>
  <c r="Z19" i="7" l="1"/>
  <c r="AA19" i="7" l="1"/>
  <c r="AB19" i="7" l="1"/>
  <c r="AC19" i="7" l="1"/>
  <c r="AD19" i="7" l="1"/>
  <c r="AE19" i="7" l="1"/>
  <c r="AF19" i="7" l="1"/>
  <c r="AG19" i="7" l="1"/>
  <c r="AH19" i="7" l="1"/>
  <c r="AI19" i="7" l="1"/>
  <c r="F21" i="7" l="1"/>
  <c r="G18" i="7"/>
  <c r="F20" i="7"/>
  <c r="G20" i="7" s="1"/>
  <c r="H20" i="7" s="1"/>
  <c r="I20" i="7" s="1"/>
  <c r="J20" i="7" s="1"/>
  <c r="K20" i="7" s="1"/>
  <c r="L20" i="7" s="1"/>
  <c r="M20" i="7" s="1"/>
  <c r="N20" i="7" s="1"/>
  <c r="O20" i="7" s="1"/>
  <c r="P20" i="7" s="1"/>
  <c r="Q20" i="7" s="1"/>
  <c r="R20" i="7" s="1"/>
  <c r="S20" i="7" s="1"/>
  <c r="T20" i="7" s="1"/>
  <c r="U20" i="7" s="1"/>
  <c r="V20" i="7" s="1"/>
  <c r="W20" i="7" s="1"/>
  <c r="X20" i="7" s="1"/>
  <c r="Y20" i="7" s="1"/>
  <c r="Z20" i="7" s="1"/>
  <c r="AA20" i="7" s="1"/>
  <c r="AB20" i="7" s="1"/>
  <c r="AC20" i="7" s="1"/>
  <c r="AD20" i="7" s="1"/>
  <c r="AE20" i="7" s="1"/>
  <c r="AF20" i="7" s="1"/>
  <c r="AG20" i="7" s="1"/>
  <c r="AH20" i="7" s="1"/>
  <c r="AI20" i="7" s="1"/>
  <c r="AI17" i="7" s="1"/>
  <c r="AH17" i="7" s="1"/>
  <c r="AG17" i="7" s="1"/>
  <c r="AF17" i="7" s="1"/>
  <c r="AE17" i="7" s="1"/>
  <c r="AD17" i="7" s="1"/>
  <c r="AC17" i="7" s="1"/>
  <c r="AB17" i="7" s="1"/>
  <c r="AA17" i="7" s="1"/>
  <c r="Z17" i="7" s="1"/>
  <c r="Y17" i="7" s="1"/>
  <c r="X17" i="7" s="1"/>
  <c r="W17" i="7" s="1"/>
  <c r="V17" i="7" s="1"/>
  <c r="U17" i="7" s="1"/>
  <c r="T17" i="7" s="1"/>
  <c r="S17" i="7" s="1"/>
  <c r="R17" i="7" s="1"/>
  <c r="Q17" i="7" s="1"/>
  <c r="P17" i="7" s="1"/>
  <c r="O17" i="7" s="1"/>
  <c r="N17" i="7" s="1"/>
  <c r="M17" i="7" s="1"/>
  <c r="L17" i="7" s="1"/>
  <c r="K17" i="7" s="1"/>
  <c r="J17" i="7" s="1"/>
  <c r="I17" i="7" s="1"/>
  <c r="H17" i="7" s="1"/>
  <c r="G17" i="7" s="1"/>
</calcChain>
</file>

<file path=xl/sharedStrings.xml><?xml version="1.0" encoding="utf-8"?>
<sst xmlns="http://schemas.openxmlformats.org/spreadsheetml/2006/main" count="51" uniqueCount="18">
  <si>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</si>
  <si>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</si>
  <si>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</si>
  <si>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</si>
  <si>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</si>
  <si>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</si>
  <si>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</si>
  <si>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</si>
  <si>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</si>
  <si>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</si>
  <si>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</si>
  <si>
    <t>alfa</t>
  </si>
  <si>
    <t>B</t>
  </si>
  <si>
    <t>F</t>
  </si>
  <si>
    <t>C</t>
  </si>
  <si>
    <t>A</t>
  </si>
  <si>
    <t>betta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</si>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</sst>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Font="1" applyBorder="1"/>
    <xf numFmtId="0" fontId="0" fillId="0" borderId="1" xfId="0" applyBorder="1"/>
    <xf numFmtId="164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Неявная</a:t>
            </a:r>
            <a:r>
              <a:rPr lang="ru-RU" baseline="0"/>
              <a:t> схема 1 -й род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8047079459928795E-2"/>
          <c:y val="4.4332906757928489E-2"/>
          <c:w val="0.71104925472966352"/>
          <c:h val="0.82391473502917834"/>
        </c:manualLayout>
      </c:layout>
      <c:scatterChart>
        <c:scatterStyle val="smoothMarker"/>
        <c:varyColors val="0"/>
        <c:ser>
          <c:idx val="1"/>
          <c:order val="0"/>
          <c:tx>
            <c:v>L, м</c:v>
          </c:tx>
          <c:marker>
            <c:symbol val="none"/>
          </c:marker>
          <c:xVal>
            <c:numRef>
              <c:f>' Неявная схема 1-ый род'!$F$14:$AJ$14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 Неявная схема 1-ый род'!$F$15:$AJ$15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 Неявная схема 1-ый род'!$F$14:$AJ$14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 Неявная схема 1-ый род'!$R$27</c:f>
              <c:numCache>
                <c:formatCode>General</c:formatCode>
                <c:ptCount val="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937600"/>
        <c:axId val="783939776"/>
      </c:scatterChart>
      <c:valAx>
        <c:axId val="783937600"/>
        <c:scaling>
          <c:orientation val="minMax"/>
          <c:max val="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 b="1" i="0" baseline="0">
                    <a:effectLst/>
                  </a:rPr>
                  <a:t>L, </a:t>
                </a:r>
                <a:r>
                  <a:rPr lang="ru-RU" sz="1600" b="1" i="0" baseline="0">
                    <a:effectLst/>
                  </a:rPr>
                  <a:t>м</a:t>
                </a:r>
                <a:endParaRPr lang="ru-RU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632555495132289"/>
              <c:y val="0.86411894216826357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783939776"/>
        <c:crosses val="autoZero"/>
        <c:crossBetween val="midCat"/>
      </c:valAx>
      <c:valAx>
        <c:axId val="783939776"/>
        <c:scaling>
          <c:orientation val="minMax"/>
          <c:max val="3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Т,</a:t>
                </a:r>
                <a:r>
                  <a:rPr lang="ru-RU" baseline="0"/>
                  <a:t> К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9.7112842829363555E-3"/>
              <c:y val="0.4794964100842333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8393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Явная</a:t>
            </a:r>
            <a:r>
              <a:rPr lang="ru-RU" baseline="0"/>
              <a:t> схема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7.8047079459928795E-2"/>
          <c:y val="4.4332906757928489E-2"/>
          <c:w val="0.71104925472966352"/>
          <c:h val="0.82391473502917834"/>
        </c:manualLayout>
      </c:layout>
      <c:scatterChart>
        <c:scatterStyle val="smoothMarker"/>
        <c:varyColors val="0"/>
        <c:ser>
          <c:idx val="1"/>
          <c:order val="0"/>
          <c:tx>
            <c:v>L, м</c:v>
          </c:tx>
          <c:marker>
            <c:symbol val="none"/>
          </c:marker>
          <c:xVal>
            <c:numRef>
              <c:f>' Неявная схема 1-ый род'!$F$14:$AJ$14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схема'!$F$15:$AJ$15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 Неявная схема 1-ый род'!$F$14:$AJ$14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 Неявная схема 1-ый род'!$R$27</c:f>
              <c:numCache>
                <c:formatCode>General</c:formatCode>
                <c:ptCount val="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951200"/>
        <c:axId val="783938144"/>
      </c:scatterChart>
      <c:valAx>
        <c:axId val="783951200"/>
        <c:scaling>
          <c:orientation val="minMax"/>
          <c:max val="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 b="1" i="0" baseline="0">
                    <a:effectLst/>
                  </a:rPr>
                  <a:t>L, </a:t>
                </a:r>
                <a:r>
                  <a:rPr lang="ru-RU" sz="1600" b="1" i="0" baseline="0">
                    <a:effectLst/>
                  </a:rPr>
                  <a:t>м</a:t>
                </a:r>
                <a:endParaRPr lang="ru-RU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632555495132289"/>
              <c:y val="0.86411894216826357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783938144"/>
        <c:crosses val="autoZero"/>
        <c:crossBetween val="midCat"/>
      </c:valAx>
      <c:valAx>
        <c:axId val="783938144"/>
        <c:scaling>
          <c:orientation val="minMax"/>
          <c:max val="3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Т,</a:t>
                </a:r>
                <a:r>
                  <a:rPr lang="ru-RU" baseline="0"/>
                  <a:t> К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9.7112842829363555E-3"/>
              <c:y val="0.4794964100842333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8395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Неявная</a:t>
            </a:r>
            <a:r>
              <a:rPr lang="ru-RU" baseline="0"/>
              <a:t> схема</a:t>
            </a:r>
            <a:r>
              <a:rPr lang="en-US" baseline="0"/>
              <a:t> 2-</a:t>
            </a:r>
            <a:r>
              <a:rPr lang="ru-RU" baseline="0"/>
              <a:t>й род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6.3531573961489743E-2"/>
          <c:y val="4.4332912955922524E-2"/>
          <c:w val="0.71104925472966352"/>
          <c:h val="0.82391473502917834"/>
        </c:manualLayout>
      </c:layout>
      <c:scatterChart>
        <c:scatterStyle val="smoothMarker"/>
        <c:varyColors val="0"/>
        <c:ser>
          <c:idx val="1"/>
          <c:order val="0"/>
          <c:tx>
            <c:v>L, м</c:v>
          </c:tx>
          <c:marker>
            <c:symbol val="none"/>
          </c:marker>
          <c:xVal>
            <c:numRef>
              <c:f>' Неявная схема 1-ый род'!$F$14:$AJ$14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 схема 2-й род'!$F$15:$AJ$15</c:f>
              <c:numCache>
                <c:formatCode>General</c:formatCode>
                <c:ptCount val="31"/>
                <c:pt idx="0">
                  <c:v>299.93571399410206</c:v>
                </c:pt>
                <c:pt idx="1">
                  <c:v>293.26904732743537</c:v>
                </c:pt>
                <c:pt idx="2">
                  <c:v>286.60289969943256</c:v>
                </c:pt>
                <c:pt idx="3">
                  <c:v>279.93690772315028</c:v>
                </c:pt>
                <c:pt idx="4">
                  <c:v>273.27106975170574</c:v>
                </c:pt>
                <c:pt idx="5">
                  <c:v>266.60538376229874</c:v>
                </c:pt>
                <c:pt idx="6">
                  <c:v>259.93984736114908</c:v>
                </c:pt>
                <c:pt idx="7">
                  <c:v>253.27445778933981</c:v>
                </c:pt>
                <c:pt idx="8">
                  <c:v>246.60921192955121</c:v>
                </c:pt>
                <c:pt idx="9">
                  <c:v>239.9441063136706</c:v>
                </c:pt>
                <c:pt idx="10">
                  <c:v>233.2791371312573</c:v>
                </c:pt>
                <c:pt idx="11">
                  <c:v>226.61430023884404</c:v>
                </c:pt>
                <c:pt idx="12">
                  <c:v>219.94959117005078</c:v>
                </c:pt>
                <c:pt idx="13">
                  <c:v>213.28500514648687</c:v>
                </c:pt>
                <c:pt idx="14">
                  <c:v>206.62053708941505</c:v>
                </c:pt>
                <c:pt idx="15">
                  <c:v>199.956181632148</c:v>
                </c:pt>
                <c:pt idx="16">
                  <c:v>193.29193313314858</c:v>
                </c:pt>
                <c:pt idx="17">
                  <c:v>186.62778568980013</c:v>
                </c:pt>
                <c:pt idx="18">
                  <c:v>179.96373315281474</c:v>
                </c:pt>
                <c:pt idx="19">
                  <c:v>173.29976914124319</c:v>
                </c:pt>
                <c:pt idx="20">
                  <c:v>166.6358870580504</c:v>
                </c:pt>
                <c:pt idx="21">
                  <c:v>159.9720801062187</c:v>
                </c:pt>
                <c:pt idx="22">
                  <c:v>153.30834130533867</c:v>
                </c:pt>
                <c:pt idx="23">
                  <c:v>146.64466350864819</c:v>
                </c:pt>
                <c:pt idx="24">
                  <c:v>139.98103942047715</c:v>
                </c:pt>
                <c:pt idx="25">
                  <c:v>133.3174616140559</c:v>
                </c:pt>
                <c:pt idx="26">
                  <c:v>126.65392254964355</c:v>
                </c:pt>
                <c:pt idx="27">
                  <c:v>119.99041459293207</c:v>
                </c:pt>
                <c:pt idx="28">
                  <c:v>113.32693003368118</c:v>
                </c:pt>
                <c:pt idx="29">
                  <c:v>106.66346110453864</c:v>
                </c:pt>
                <c:pt idx="30">
                  <c:v>100</c:v>
                </c:pt>
              </c:numCache>
            </c:numRef>
          </c:yVal>
          <c:smooth val="1"/>
        </c:ser>
        <c:ser>
          <c:idx val="0"/>
          <c:order val="1"/>
          <c:marker>
            <c:symbol val="none"/>
          </c:marker>
          <c:xVal>
            <c:numRef>
              <c:f>' Неявная схема 1-ый род'!$F$14:$AJ$14</c:f>
              <c:numCache>
                <c:formatCode>0.000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 Неявная схема 1-ый род'!$R$27</c:f>
              <c:numCache>
                <c:formatCode>General</c:formatCode>
                <c:ptCount val="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951744"/>
        <c:axId val="783947936"/>
      </c:scatterChart>
      <c:valAx>
        <c:axId val="783951744"/>
        <c:scaling>
          <c:orientation val="minMax"/>
          <c:max val="0.1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sz="1600" b="1" i="0" baseline="0">
                    <a:effectLst/>
                  </a:rPr>
                  <a:t>L, </a:t>
                </a:r>
                <a:r>
                  <a:rPr lang="ru-RU" sz="1600" b="1" i="0" baseline="0">
                    <a:effectLst/>
                  </a:rPr>
                  <a:t>м</a:t>
                </a:r>
                <a:endParaRPr lang="ru-RU" sz="900">
                  <a:effectLst/>
                </a:endParaRPr>
              </a:p>
            </c:rich>
          </c:tx>
          <c:layout>
            <c:manualLayout>
              <c:xMode val="edge"/>
              <c:yMode val="edge"/>
              <c:x val="0.84632555495132289"/>
              <c:y val="0.86411894216826357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crossAx val="783947936"/>
        <c:crosses val="autoZero"/>
        <c:crossBetween val="midCat"/>
      </c:valAx>
      <c:valAx>
        <c:axId val="783947936"/>
        <c:scaling>
          <c:orientation val="minMax"/>
          <c:max val="30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Т,</a:t>
                </a:r>
                <a:r>
                  <a:rPr lang="ru-RU" baseline="0"/>
                  <a:t> К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9.7112842829363555E-3"/>
              <c:y val="0.4794964100842333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83951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98221</xdr:colOff>
      <xdr:row>25</xdr:row>
      <xdr:rowOff>158855</xdr:rowOff>
    </xdr:from>
    <xdr:to>
      <xdr:col>21</xdr:col>
      <xdr:colOff>470984</xdr:colOff>
      <xdr:row>41</xdr:row>
      <xdr:rowOff>86069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15</xdr:col>
      <xdr:colOff>418070</xdr:colOff>
      <xdr:row>18</xdr:row>
      <xdr:rowOff>140043</xdr:rowOff>
    </xdr:from>
    <xdr:ext cx="65" cy="172227"/>
    <xdr:sp macro="" textlink="">
      <xdr:nvSpPr>
        <xdr:cNvPr id="3" name="TextBox 2"/>
        <xdr:cNvSpPr txBox="1"/>
      </xdr:nvSpPr>
      <xdr:spPr>
        <a:xfrm>
          <a:off x="9294340" y="347636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23</xdr:col>
      <xdr:colOff>0</xdr:colOff>
      <xdr:row>23</xdr:row>
      <xdr:rowOff>117231</xdr:rowOff>
    </xdr:from>
    <xdr:to>
      <xdr:col>31</xdr:col>
      <xdr:colOff>370703</xdr:colOff>
      <xdr:row>39</xdr:row>
      <xdr:rowOff>44444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128953</xdr:colOff>
      <xdr:row>25</xdr:row>
      <xdr:rowOff>128953</xdr:rowOff>
    </xdr:from>
    <xdr:to>
      <xdr:col>13</xdr:col>
      <xdr:colOff>138301</xdr:colOff>
      <xdr:row>41</xdr:row>
      <xdr:rowOff>56167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418070</xdr:colOff>
      <xdr:row>18</xdr:row>
      <xdr:rowOff>140043</xdr:rowOff>
    </xdr:from>
    <xdr:ext cx="65" cy="172227"/>
    <xdr:sp macro="" textlink="">
      <xdr:nvSpPr>
        <xdr:cNvPr id="2" name="TextBox 1"/>
        <xdr:cNvSpPr txBox="1"/>
      </xdr:nvSpPr>
      <xdr:spPr>
        <a:xfrm>
          <a:off x="9318230" y="3431883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AJ17"/>
  <sheetViews>
    <sheetView topLeftCell="F1" zoomScale="73" zoomScaleNormal="73" workbookViewId="0">
      <selection activeCell="G15" sqref="G15:AI15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(C8*C7*C3^2)/(2*C9)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6" spans="2:36" x14ac:dyDescent="0.3">
      <c r="B6" s="1"/>
      <c r="C6" s="1"/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</row>
    <row r="10" spans="2:36" x14ac:dyDescent="0.3">
      <c r="B10" s="1"/>
      <c r="C10" s="1"/>
    </row>
    <row r="11" spans="2:36" x14ac:dyDescent="0.3">
      <c r="B11" s="1"/>
      <c r="C11" s="1"/>
    </row>
    <row r="12" spans="2:36" x14ac:dyDescent="0.3">
      <c r="B12" s="1" t="s">
        <v>8</v>
      </c>
      <c r="C12" s="1">
        <v>300</v>
      </c>
    </row>
    <row r="13" spans="2:36" x14ac:dyDescent="0.3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2:36" x14ac:dyDescent="0.3">
      <c r="B14" s="1" t="s">
        <v>10</v>
      </c>
      <c r="C14" s="1"/>
      <c r="E14" s="2" t="s">
        <v>0</v>
      </c>
      <c r="F14" s="3">
        <v>0</v>
      </c>
      <c r="G14" s="3">
        <f>F14+$C$3</f>
        <v>3.3333333333333335E-3</v>
      </c>
      <c r="H14" s="3">
        <f>G14+$C$3</f>
        <v>6.6666666666666671E-3</v>
      </c>
      <c r="I14" s="3">
        <f t="shared" ref="I14:AJ14" si="0">H14+$C$3</f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2:36" x14ac:dyDescent="0.3">
      <c r="B15" s="1" t="s">
        <v>15</v>
      </c>
      <c r="C15" s="1">
        <f>C9/C3^2</f>
        <v>4139999.9999999991</v>
      </c>
      <c r="E15" s="2" t="s">
        <v>7</v>
      </c>
      <c r="F15" s="2">
        <f>C12</f>
        <v>300</v>
      </c>
      <c r="G15" s="2">
        <v>280.34602914679897</v>
      </c>
      <c r="H15" s="2">
        <v>260.69205829359794</v>
      </c>
      <c r="I15" s="2">
        <v>241.69187227593491</v>
      </c>
      <c r="J15" s="2">
        <v>222.69168625827183</v>
      </c>
      <c r="K15" s="2">
        <v>204.95390631913148</v>
      </c>
      <c r="L15" s="2">
        <v>187.21612637999107</v>
      </c>
      <c r="M15" s="2">
        <v>171.26453784334268</v>
      </c>
      <c r="N15" s="2">
        <v>155.31294930669429</v>
      </c>
      <c r="O15" s="2">
        <v>141.55671337374599</v>
      </c>
      <c r="P15" s="2">
        <v>127.80047744079765</v>
      </c>
      <c r="Q15" s="2">
        <v>116.51671674932982</v>
      </c>
      <c r="R15" s="2">
        <v>105.23295605786197</v>
      </c>
      <c r="S15" s="2">
        <v>96.561989352755049</v>
      </c>
      <c r="T15" s="2">
        <v>87.891022647648128</v>
      </c>
      <c r="U15" s="2">
        <v>81.842538774051832</v>
      </c>
      <c r="V15" s="2">
        <v>75.794054900455549</v>
      </c>
      <c r="W15" s="2">
        <v>72.261187114604226</v>
      </c>
      <c r="X15" s="2">
        <v>68.728319328752917</v>
      </c>
      <c r="Y15" s="2">
        <v>67.506108522455037</v>
      </c>
      <c r="Z15" s="2">
        <v>66.283897716157142</v>
      </c>
      <c r="AA15" s="2">
        <v>67.088962026000345</v>
      </c>
      <c r="AB15" s="2">
        <v>67.894026335843549</v>
      </c>
      <c r="AC15" s="2">
        <v>70.383127200086093</v>
      </c>
      <c r="AD15" s="2">
        <v>72.872228064328638</v>
      </c>
      <c r="AE15" s="2">
        <v>76.658491877071754</v>
      </c>
      <c r="AF15" s="2">
        <v>80.444755689814855</v>
      </c>
      <c r="AG15" s="2">
        <v>85.111263870845988</v>
      </c>
      <c r="AH15" s="2">
        <v>89.777772051877108</v>
      </c>
      <c r="AI15" s="2">
        <v>94.888886025938547</v>
      </c>
      <c r="AJ15" s="2">
        <f>C13</f>
        <v>100</v>
      </c>
    </row>
    <row r="16" spans="2:36" x14ac:dyDescent="0.3">
      <c r="B16" s="1" t="s">
        <v>12</v>
      </c>
      <c r="C16" s="1">
        <f>(2*C9/C3^2)+(C8*C7/C4)</f>
        <v>16559999.999999996</v>
      </c>
    </row>
    <row r="17" spans="2:35" x14ac:dyDescent="0.3">
      <c r="B17" s="1" t="s">
        <v>14</v>
      </c>
      <c r="C17" s="1">
        <f>C15</f>
        <v>4139999.9999999991</v>
      </c>
      <c r="G17">
        <f>G15+(($C$9*$C$4)/($C$8*$C$7))*((H15-2*G15+F15)/($C$3^2))</f>
        <v>280.34602914679897</v>
      </c>
      <c r="H17">
        <f t="shared" ref="H17:AI17" si="1">H15+(($C$9*$C$4)/($C$8*$C$7))*((I15-2*H15+G15)/($C$3^2))</f>
        <v>261.01895071136693</v>
      </c>
      <c r="I17">
        <f t="shared" si="1"/>
        <v>241.69187227593488</v>
      </c>
      <c r="J17">
        <f t="shared" si="1"/>
        <v>223.32288929753321</v>
      </c>
      <c r="K17">
        <f t="shared" si="1"/>
        <v>204.95390631913145</v>
      </c>
      <c r="L17">
        <f t="shared" si="1"/>
        <v>188.10922208123708</v>
      </c>
      <c r="M17">
        <f t="shared" si="1"/>
        <v>171.26453784334268</v>
      </c>
      <c r="N17">
        <f t="shared" si="1"/>
        <v>156.41062560854434</v>
      </c>
      <c r="O17">
        <f t="shared" si="1"/>
        <v>141.55671337374596</v>
      </c>
      <c r="P17">
        <f t="shared" si="1"/>
        <v>129.0367150615379</v>
      </c>
      <c r="Q17">
        <f t="shared" si="1"/>
        <v>116.51671674932982</v>
      </c>
      <c r="R17">
        <f t="shared" si="1"/>
        <v>106.53935305104244</v>
      </c>
      <c r="S17">
        <f t="shared" si="1"/>
        <v>96.561989352755049</v>
      </c>
      <c r="T17">
        <f t="shared" si="1"/>
        <v>89.202264063403447</v>
      </c>
      <c r="U17">
        <f t="shared" si="1"/>
        <v>81.842538774051832</v>
      </c>
      <c r="V17">
        <f t="shared" si="1"/>
        <v>77.051862944328036</v>
      </c>
      <c r="W17">
        <f t="shared" si="1"/>
        <v>72.26118711460424</v>
      </c>
      <c r="X17">
        <f t="shared" si="1"/>
        <v>69.883647818529624</v>
      </c>
      <c r="Y17">
        <f t="shared" si="1"/>
        <v>67.506108522455037</v>
      </c>
      <c r="Z17">
        <f t="shared" si="1"/>
        <v>67.297535274227698</v>
      </c>
      <c r="AA17">
        <f t="shared" si="1"/>
        <v>67.088962026000345</v>
      </c>
      <c r="AB17">
        <f t="shared" si="1"/>
        <v>68.736044613043219</v>
      </c>
      <c r="AC17">
        <f t="shared" si="1"/>
        <v>70.383127200086093</v>
      </c>
      <c r="AD17">
        <f t="shared" si="1"/>
        <v>73.520809538578931</v>
      </c>
      <c r="AE17">
        <f t="shared" si="1"/>
        <v>76.658491877071754</v>
      </c>
      <c r="AF17">
        <f t="shared" si="1"/>
        <v>80.884877873958871</v>
      </c>
      <c r="AG17">
        <f t="shared" si="1"/>
        <v>85.111263870845988</v>
      </c>
      <c r="AH17">
        <f t="shared" si="1"/>
        <v>90.000074948392268</v>
      </c>
      <c r="AI17">
        <f t="shared" si="1"/>
        <v>94.888886025938547</v>
      </c>
    </row>
  </sheetData>
  <conditionalFormatting sqref="F15:AJ15">
    <cfRule type="colorScale" priority="1">
      <colorScale>
        <cfvo type="min"/>
        <cfvo type="max"/>
        <color theme="4"/>
        <color rgb="FFFF0000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2:AJ21"/>
  <sheetViews>
    <sheetView zoomScale="65" zoomScaleNormal="65" workbookViewId="0">
      <selection activeCell="T25" sqref="T25"/>
    </sheetView>
  </sheetViews>
  <sheetFormatPr defaultRowHeight="14.4" x14ac:dyDescent="0.3"/>
  <cols>
    <col min="5" max="5" width="5.33203125" bestFit="1" customWidth="1"/>
    <col min="6" max="6" width="8.88671875" customWidth="1"/>
    <col min="35" max="35" width="7.44140625" customWidth="1"/>
    <col min="36" max="36" width="7.21875" customWidth="1"/>
  </cols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f>(C8*C7*C3^2)/(2*C9)</f>
        <v>0.4333333333333334</v>
      </c>
    </row>
    <row r="5" spans="2:36" x14ac:dyDescent="0.3">
      <c r="B5" s="1" t="s">
        <v>3</v>
      </c>
      <c r="C5" s="1">
        <v>60</v>
      </c>
      <c r="D5">
        <v>60.233333333333341</v>
      </c>
    </row>
    <row r="6" spans="2:36" x14ac:dyDescent="0.3">
      <c r="B6" s="1"/>
      <c r="C6" s="1"/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</row>
    <row r="10" spans="2:36" x14ac:dyDescent="0.3">
      <c r="B10" s="1"/>
      <c r="C10" s="1"/>
    </row>
    <row r="11" spans="2:36" x14ac:dyDescent="0.3">
      <c r="B11" s="1"/>
      <c r="C11" s="1"/>
    </row>
    <row r="12" spans="2:36" x14ac:dyDescent="0.3">
      <c r="B12" s="1" t="s">
        <v>8</v>
      </c>
      <c r="C12" s="1">
        <v>300</v>
      </c>
    </row>
    <row r="13" spans="2:36" x14ac:dyDescent="0.3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2:36" x14ac:dyDescent="0.3">
      <c r="B14" s="1" t="s">
        <v>10</v>
      </c>
      <c r="C14" s="1"/>
      <c r="E14" s="2" t="s">
        <v>0</v>
      </c>
      <c r="F14" s="3">
        <v>0</v>
      </c>
      <c r="G14" s="3">
        <f>F14+$C$3</f>
        <v>3.3333333333333335E-3</v>
      </c>
      <c r="H14" s="3">
        <f>G14+$C$3</f>
        <v>6.6666666666666671E-3</v>
      </c>
      <c r="I14" s="3">
        <f t="shared" ref="I14:AJ14" si="0">H14+$C$3</f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2:36" x14ac:dyDescent="0.3">
      <c r="B15" s="1" t="s">
        <v>15</v>
      </c>
      <c r="C15" s="1">
        <f>C9/C3^2</f>
        <v>4139999.9999999991</v>
      </c>
      <c r="E15" s="2" t="s">
        <v>7</v>
      </c>
      <c r="F15" s="2">
        <f>C12</f>
        <v>300</v>
      </c>
      <c r="G15" s="2">
        <v>280.20114262798575</v>
      </c>
      <c r="H15" s="2">
        <v>260.57053452366904</v>
      </c>
      <c r="I15" s="2">
        <v>241.27335396752636</v>
      </c>
      <c r="J15" s="2">
        <v>222.46874067679317</v>
      </c>
      <c r="K15" s="2">
        <v>204.30702925674697</v>
      </c>
      <c r="L15" s="2">
        <v>186.92727013670742</v>
      </c>
      <c r="M15" s="2">
        <v>170.45510875086381</v>
      </c>
      <c r="N15" s="2">
        <v>155.00107463428773</v>
      </c>
      <c r="O15" s="2">
        <v>140.65931099015722</v>
      </c>
      <c r="P15" s="2">
        <v>127.5067536180474</v>
      </c>
      <c r="Q15" s="2">
        <v>115.60274732960713</v>
      </c>
      <c r="R15" s="2">
        <v>104.98906943559072</v>
      </c>
      <c r="S15" s="2">
        <v>95.690314648076594</v>
      </c>
      <c r="T15" s="2">
        <v>87.714584570723446</v>
      </c>
      <c r="U15" s="2">
        <v>81.054418255410752</v>
      </c>
      <c r="V15" s="2">
        <v>75.68789812172092</v>
      </c>
      <c r="W15" s="2">
        <v>71.579867553261167</v>
      </c>
      <c r="X15" s="2">
        <v>68.68320209085141</v>
      </c>
      <c r="Y15" s="2">
        <v>66.940084503407604</v>
      </c>
      <c r="Z15" s="2">
        <v>66.283244166503039</v>
      </c>
      <c r="AA15" s="2">
        <v>66.637132112902975</v>
      </c>
      <c r="AB15" s="2">
        <v>67.919013891339318</v>
      </c>
      <c r="AC15" s="2">
        <v>70.039972168091296</v>
      </c>
      <c r="AD15" s="2">
        <v>72.905819217013814</v>
      </c>
      <c r="AE15" s="2">
        <v>76.417925689672472</v>
      </c>
      <c r="AF15" s="2">
        <v>80.473976208137344</v>
      </c>
      <c r="AG15" s="2">
        <v>84.968664482862408</v>
      </c>
      <c r="AH15" s="2">
        <v>89.794341128753075</v>
      </c>
      <c r="AI15" s="2">
        <v>94.841626578966242</v>
      </c>
      <c r="AJ15" s="2">
        <f>C13</f>
        <v>100</v>
      </c>
    </row>
    <row r="16" spans="2:36" x14ac:dyDescent="0.3">
      <c r="B16" s="1" t="s">
        <v>12</v>
      </c>
      <c r="C16" s="1">
        <f>(2*C9/C3^2)+(C8*C7/C4)</f>
        <v>16559999.999999996</v>
      </c>
    </row>
    <row r="17" spans="2:36" x14ac:dyDescent="0.3">
      <c r="B17" s="1" t="s">
        <v>14</v>
      </c>
      <c r="C17" s="1">
        <f>C15</f>
        <v>4139999.9999999991</v>
      </c>
      <c r="G17">
        <f t="shared" ref="G17:AH17" si="1">G19*H17+G20</f>
        <v>280.28451209215399</v>
      </c>
      <c r="H17">
        <f t="shared" si="1"/>
        <v>260.73576311264441</v>
      </c>
      <c r="I17">
        <f t="shared" si="1"/>
        <v>241.51747131108542</v>
      </c>
      <c r="J17">
        <f t="shared" si="1"/>
        <v>222.78741419664442</v>
      </c>
      <c r="K17">
        <f t="shared" si="1"/>
        <v>204.69470412190589</v>
      </c>
      <c r="L17">
        <f t="shared" si="1"/>
        <v>187.37734377748521</v>
      </c>
      <c r="M17">
        <f t="shared" si="1"/>
        <v>170.96013071462008</v>
      </c>
      <c r="N17">
        <f t="shared" si="1"/>
        <v>155.55296157926747</v>
      </c>
      <c r="O17">
        <f t="shared" si="1"/>
        <v>141.24956633387433</v>
      </c>
      <c r="P17">
        <f t="shared" si="1"/>
        <v>128.12668177591533</v>
      </c>
      <c r="Q17">
        <f t="shared" si="1"/>
        <v>116.24365353369214</v>
      </c>
      <c r="R17">
        <f t="shared" si="1"/>
        <v>105.64243769963892</v>
      </c>
      <c r="S17">
        <f t="shared" si="1"/>
        <v>96.347958393682063</v>
      </c>
      <c r="T17">
        <f t="shared" si="1"/>
        <v>88.368766578936132</v>
      </c>
      <c r="U17">
        <f t="shared" si="1"/>
        <v>81.697938780615559</v>
      </c>
      <c r="V17">
        <f t="shared" si="1"/>
        <v>76.314152032704555</v>
      </c>
      <c r="W17">
        <f t="shared" si="1"/>
        <v>72.182873106760752</v>
      </c>
      <c r="X17">
        <f t="shared" si="1"/>
        <v>69.257605287816148</v>
      </c>
      <c r="Y17">
        <f t="shared" si="1"/>
        <v>67.481143862800991</v>
      </c>
      <c r="Z17">
        <f t="shared" si="1"/>
        <v>66.786801156572579</v>
      </c>
      <c r="AA17">
        <f t="shared" si="1"/>
        <v>67.099572430483207</v>
      </c>
      <c r="AB17">
        <f t="shared" si="1"/>
        <v>68.337224339554268</v>
      </c>
      <c r="AC17">
        <f t="shared" si="1"/>
        <v>70.411297145055215</v>
      </c>
      <c r="AD17">
        <f t="shared" si="1"/>
        <v>73.228019904484</v>
      </c>
      <c r="AE17">
        <f t="shared" si="1"/>
        <v>76.689144038853158</v>
      </c>
      <c r="AF17">
        <f t="shared" si="1"/>
        <v>80.692704871583686</v>
      </c>
      <c r="AG17">
        <f t="shared" si="1"/>
        <v>85.13372303120687</v>
      </c>
      <c r="AH17">
        <f t="shared" si="1"/>
        <v>89.904858287518977</v>
      </c>
      <c r="AI17">
        <f>AI19*AJ17+AI20</f>
        <v>94.897027861362858</v>
      </c>
      <c r="AJ17">
        <v>100</v>
      </c>
    </row>
    <row r="19" spans="2:36" x14ac:dyDescent="0.3">
      <c r="E19" t="s">
        <v>11</v>
      </c>
      <c r="F19">
        <v>0</v>
      </c>
      <c r="G19">
        <f>$C$15/($C$16-$C$17*F19)</f>
        <v>0.25</v>
      </c>
      <c r="H19">
        <f t="shared" ref="H19:AI19" si="2">$C$15/($C$16-$C$17*G19)</f>
        <v>0.26666666666666666</v>
      </c>
      <c r="I19">
        <f t="shared" si="2"/>
        <v>0.26785714285714285</v>
      </c>
      <c r="J19">
        <f t="shared" si="2"/>
        <v>0.26794258373205743</v>
      </c>
      <c r="K19">
        <f t="shared" si="2"/>
        <v>0.26794871794871794</v>
      </c>
      <c r="L19">
        <f t="shared" si="2"/>
        <v>0.26794915836482308</v>
      </c>
      <c r="M19">
        <f t="shared" si="2"/>
        <v>0.26794918998527245</v>
      </c>
      <c r="N19">
        <f t="shared" si="2"/>
        <v>0.26794919225551855</v>
      </c>
      <c r="O19">
        <f t="shared" si="2"/>
        <v>0.26794919241851489</v>
      </c>
      <c r="P19">
        <f t="shared" si="2"/>
        <v>0.26794919243021753</v>
      </c>
      <c r="Q19">
        <f t="shared" si="2"/>
        <v>0.26794919243105775</v>
      </c>
      <c r="R19">
        <f t="shared" si="2"/>
        <v>0.26794919243111803</v>
      </c>
      <c r="S19">
        <f t="shared" si="2"/>
        <v>0.26794919243112236</v>
      </c>
      <c r="T19">
        <f t="shared" si="2"/>
        <v>0.2679491924311227</v>
      </c>
      <c r="U19">
        <f t="shared" si="2"/>
        <v>0.2679491924311227</v>
      </c>
      <c r="V19">
        <f t="shared" si="2"/>
        <v>0.2679491924311227</v>
      </c>
      <c r="W19">
        <f t="shared" si="2"/>
        <v>0.2679491924311227</v>
      </c>
      <c r="X19">
        <f t="shared" si="2"/>
        <v>0.2679491924311227</v>
      </c>
      <c r="Y19">
        <f t="shared" si="2"/>
        <v>0.2679491924311227</v>
      </c>
      <c r="Z19">
        <f t="shared" si="2"/>
        <v>0.2679491924311227</v>
      </c>
      <c r="AA19">
        <f t="shared" si="2"/>
        <v>0.2679491924311227</v>
      </c>
      <c r="AB19">
        <f t="shared" si="2"/>
        <v>0.2679491924311227</v>
      </c>
      <c r="AC19">
        <f t="shared" si="2"/>
        <v>0.2679491924311227</v>
      </c>
      <c r="AD19">
        <f t="shared" si="2"/>
        <v>0.2679491924311227</v>
      </c>
      <c r="AE19">
        <f t="shared" si="2"/>
        <v>0.2679491924311227</v>
      </c>
      <c r="AF19">
        <f t="shared" si="2"/>
        <v>0.2679491924311227</v>
      </c>
      <c r="AG19">
        <f t="shared" si="2"/>
        <v>0.2679491924311227</v>
      </c>
      <c r="AH19">
        <f t="shared" si="2"/>
        <v>0.2679491924311227</v>
      </c>
      <c r="AI19">
        <f t="shared" si="2"/>
        <v>0.2679491924311227</v>
      </c>
    </row>
    <row r="20" spans="2:36" x14ac:dyDescent="0.3">
      <c r="E20" t="s">
        <v>16</v>
      </c>
      <c r="F20">
        <f>F15</f>
        <v>300</v>
      </c>
      <c r="G20">
        <f>(F20*$C$17-G21)/($C$16-$C$17*F19)</f>
        <v>215.1005713139929</v>
      </c>
      <c r="H20">
        <f t="shared" ref="H20:AI20" si="3">(G20*$C$17-H21)/($C$16-$C$17*G19)</f>
        <v>196.33110409635498</v>
      </c>
      <c r="I20">
        <f t="shared" si="3"/>
        <v>181.84227107984137</v>
      </c>
      <c r="J20">
        <f t="shared" si="3"/>
        <v>167.94098629795192</v>
      </c>
      <c r="K20">
        <f t="shared" si="3"/>
        <v>154.48718508409254</v>
      </c>
      <c r="L20">
        <f t="shared" si="3"/>
        <v>141.56872063856261</v>
      </c>
      <c r="M20">
        <f t="shared" si="3"/>
        <v>129.27984065964515</v>
      </c>
      <c r="N20">
        <f t="shared" si="3"/>
        <v>117.70525437366356</v>
      </c>
      <c r="O20">
        <f t="shared" si="3"/>
        <v>106.91812542475377</v>
      </c>
      <c r="P20">
        <f t="shared" si="3"/>
        <v>96.979288686424511</v>
      </c>
      <c r="Q20">
        <f t="shared" si="3"/>
        <v>87.936847665625564</v>
      </c>
      <c r="R20">
        <f t="shared" si="3"/>
        <v>79.826080055664846</v>
      </c>
      <c r="S20">
        <f t="shared" si="3"/>
        <v>72.669618752721775</v>
      </c>
      <c r="T20">
        <f t="shared" si="3"/>
        <v>66.477869859382892</v>
      </c>
      <c r="U20">
        <f t="shared" si="3"/>
        <v>61.249623372386452</v>
      </c>
      <c r="V20">
        <f t="shared" si="3"/>
        <v>56.972809476389799</v>
      </c>
      <c r="W20">
        <f t="shared" si="3"/>
        <v>53.625353700176966</v>
      </c>
      <c r="X20">
        <f t="shared" si="3"/>
        <v>51.176087285450215</v>
      </c>
      <c r="Y20">
        <f t="shared" si="3"/>
        <v>49.585674427839393</v>
      </c>
      <c r="Z20">
        <f t="shared" si="3"/>
        <v>48.807524911350974</v>
      </c>
      <c r="AA20">
        <f t="shared" si="3"/>
        <v>48.788668355715174</v>
      </c>
      <c r="AB20">
        <f t="shared" si="3"/>
        <v>49.470574131508911</v>
      </c>
      <c r="AC20">
        <f t="shared" si="3"/>
        <v>50.789908348318555</v>
      </c>
      <c r="AD20">
        <f t="shared" si="3"/>
        <v>52.679225691039257</v>
      </c>
      <c r="AE20">
        <f t="shared" si="3"/>
        <v>55.067598933429394</v>
      </c>
      <c r="AF20">
        <f t="shared" si="3"/>
        <v>57.881192536716931</v>
      </c>
      <c r="AG20">
        <f t="shared" si="3"/>
        <v>61.043788857431636</v>
      </c>
      <c r="AH20">
        <f t="shared" si="3"/>
        <v>64.477276307953048</v>
      </c>
      <c r="AI20">
        <f t="shared" si="3"/>
        <v>68.102108618250597</v>
      </c>
    </row>
    <row r="21" spans="2:36" x14ac:dyDescent="0.3">
      <c r="E21" t="s">
        <v>13</v>
      </c>
      <c r="F21">
        <f>(-($C$8*$C$7)/$C$4)*F15</f>
        <v>-2483999999.9999995</v>
      </c>
      <c r="G21">
        <f t="shared" ref="G21:AI21" si="4">(-($C$8*$C$7)/$C$4)*G15</f>
        <v>-2320065460.9597216</v>
      </c>
      <c r="H21">
        <f t="shared" si="4"/>
        <v>-2157524025.8559794</v>
      </c>
      <c r="I21">
        <f t="shared" si="4"/>
        <v>-1997743370.8511181</v>
      </c>
      <c r="J21">
        <f t="shared" si="4"/>
        <v>-1842041172.8038473</v>
      </c>
      <c r="K21">
        <f t="shared" si="4"/>
        <v>-1691662202.2458646</v>
      </c>
      <c r="L21">
        <f t="shared" si="4"/>
        <v>-1547757796.7319372</v>
      </c>
      <c r="M21">
        <f t="shared" si="4"/>
        <v>-1411368300.4571521</v>
      </c>
      <c r="N21">
        <f t="shared" si="4"/>
        <v>-1283408897.9719024</v>
      </c>
      <c r="O21">
        <f t="shared" si="4"/>
        <v>-1164659094.9985018</v>
      </c>
      <c r="P21">
        <f t="shared" si="4"/>
        <v>-1055755919.9574324</v>
      </c>
      <c r="Q21">
        <f t="shared" si="4"/>
        <v>-957190747.88914692</v>
      </c>
      <c r="R21">
        <f t="shared" si="4"/>
        <v>-869309494.92669106</v>
      </c>
      <c r="S21">
        <f t="shared" si="4"/>
        <v>-792315805.28607416</v>
      </c>
      <c r="T21">
        <f t="shared" si="4"/>
        <v>-726276760.24559009</v>
      </c>
      <c r="U21">
        <f t="shared" si="4"/>
        <v>-671130583.15480101</v>
      </c>
      <c r="V21">
        <f t="shared" si="4"/>
        <v>-626695796.44784915</v>
      </c>
      <c r="W21">
        <f t="shared" si="4"/>
        <v>-592681303.34100235</v>
      </c>
      <c r="X21">
        <f t="shared" si="4"/>
        <v>-568696913.31224966</v>
      </c>
      <c r="Y21">
        <f t="shared" si="4"/>
        <v>-554263899.6882149</v>
      </c>
      <c r="Z21">
        <f t="shared" si="4"/>
        <v>-548825261.69864511</v>
      </c>
      <c r="AA21">
        <f t="shared" si="4"/>
        <v>-551755453.89483654</v>
      </c>
      <c r="AB21">
        <f t="shared" si="4"/>
        <v>-562369435.02028954</v>
      </c>
      <c r="AC21">
        <f t="shared" si="4"/>
        <v>-579930969.55179584</v>
      </c>
      <c r="AD21">
        <f t="shared" si="4"/>
        <v>-603660183.11687434</v>
      </c>
      <c r="AE21">
        <f t="shared" si="4"/>
        <v>-632740424.71048796</v>
      </c>
      <c r="AF21">
        <f t="shared" si="4"/>
        <v>-666324523.00337708</v>
      </c>
      <c r="AG21">
        <f t="shared" si="4"/>
        <v>-703540541.91810071</v>
      </c>
      <c r="AH21">
        <f t="shared" si="4"/>
        <v>-743497144.54607534</v>
      </c>
      <c r="AI21">
        <f t="shared" si="4"/>
        <v>-785288668.07384038</v>
      </c>
    </row>
  </sheetData>
  <conditionalFormatting sqref="F15:AJ15">
    <cfRule type="colorScale" priority="1">
      <colorScale>
        <cfvo type="min"/>
        <cfvo type="max"/>
        <color theme="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J21"/>
  <sheetViews>
    <sheetView tabSelected="1" zoomScale="85" zoomScaleNormal="85" workbookViewId="0">
      <selection activeCell="G25" sqref="G25"/>
    </sheetView>
  </sheetViews>
  <sheetFormatPr defaultRowHeight="14.4" x14ac:dyDescent="0.3"/>
  <sheetData>
    <row r="2" spans="2:36" x14ac:dyDescent="0.3">
      <c r="B2" s="1" t="s">
        <v>0</v>
      </c>
      <c r="C2" s="1">
        <v>0.1</v>
      </c>
    </row>
    <row r="3" spans="2:36" x14ac:dyDescent="0.3">
      <c r="B3" s="1" t="s">
        <v>1</v>
      </c>
      <c r="C3" s="1">
        <f>C2/30</f>
        <v>3.3333333333333335E-3</v>
      </c>
    </row>
    <row r="4" spans="2:36" x14ac:dyDescent="0.3">
      <c r="B4" s="1" t="s">
        <v>2</v>
      </c>
      <c r="C4" s="1">
        <v>2</v>
      </c>
    </row>
    <row r="5" spans="2:36" x14ac:dyDescent="0.3">
      <c r="B5" s="1" t="s">
        <v>3</v>
      </c>
      <c r="C5" s="1">
        <v>3000</v>
      </c>
      <c r="D5">
        <v>3002</v>
      </c>
    </row>
    <row r="6" spans="2:36" x14ac:dyDescent="0.3">
      <c r="B6" s="1"/>
      <c r="C6" s="1"/>
    </row>
    <row r="7" spans="2:36" x14ac:dyDescent="0.3">
      <c r="B7" s="1" t="s">
        <v>4</v>
      </c>
      <c r="C7" s="1">
        <v>460</v>
      </c>
    </row>
    <row r="8" spans="2:36" x14ac:dyDescent="0.3">
      <c r="B8" s="1" t="s">
        <v>5</v>
      </c>
      <c r="C8" s="1">
        <v>7800</v>
      </c>
    </row>
    <row r="9" spans="2:36" x14ac:dyDescent="0.3">
      <c r="B9" s="1" t="s">
        <v>6</v>
      </c>
      <c r="C9" s="1">
        <v>46</v>
      </c>
    </row>
    <row r="10" spans="2:36" x14ac:dyDescent="0.3">
      <c r="B10" s="1"/>
      <c r="C10" s="1"/>
    </row>
    <row r="11" spans="2:36" x14ac:dyDescent="0.3">
      <c r="B11" s="1"/>
      <c r="C11" s="1"/>
    </row>
    <row r="12" spans="2:36" x14ac:dyDescent="0.3">
      <c r="B12" s="1" t="s">
        <v>17</v>
      </c>
      <c r="C12" s="1">
        <v>92000</v>
      </c>
    </row>
    <row r="13" spans="2:36" x14ac:dyDescent="0.3">
      <c r="B13" s="1" t="s">
        <v>9</v>
      </c>
      <c r="C13" s="1">
        <v>100</v>
      </c>
      <c r="E13" s="2"/>
      <c r="F13" s="2"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  <c r="AE13" s="2">
        <v>26</v>
      </c>
      <c r="AF13" s="2">
        <v>27</v>
      </c>
      <c r="AG13" s="2">
        <v>28</v>
      </c>
      <c r="AH13" s="2">
        <v>29</v>
      </c>
      <c r="AI13" s="2">
        <v>30</v>
      </c>
      <c r="AJ13" s="2">
        <v>31</v>
      </c>
    </row>
    <row r="14" spans="2:36" x14ac:dyDescent="0.3">
      <c r="B14" s="1" t="s">
        <v>10</v>
      </c>
      <c r="C14" s="1"/>
      <c r="E14" s="2" t="s">
        <v>0</v>
      </c>
      <c r="F14" s="3">
        <v>0</v>
      </c>
      <c r="G14" s="3">
        <f>F14+$C$3</f>
        <v>3.3333333333333335E-3</v>
      </c>
      <c r="H14" s="3">
        <f>G14+$C$3</f>
        <v>6.6666666666666671E-3</v>
      </c>
      <c r="I14" s="3">
        <f t="shared" ref="I14:AJ14" si="0">H14+$C$3</f>
        <v>0.01</v>
      </c>
      <c r="J14" s="3">
        <f t="shared" si="0"/>
        <v>1.3333333333333334E-2</v>
      </c>
      <c r="K14" s="3">
        <f t="shared" si="0"/>
        <v>1.6666666666666666E-2</v>
      </c>
      <c r="L14" s="3">
        <f t="shared" si="0"/>
        <v>0.02</v>
      </c>
      <c r="M14" s="3">
        <f t="shared" si="0"/>
        <v>2.3333333333333334E-2</v>
      </c>
      <c r="N14" s="3">
        <f t="shared" si="0"/>
        <v>2.6666666666666668E-2</v>
      </c>
      <c r="O14" s="3">
        <f t="shared" si="0"/>
        <v>3.0000000000000002E-2</v>
      </c>
      <c r="P14" s="3">
        <f t="shared" si="0"/>
        <v>3.3333333333333333E-2</v>
      </c>
      <c r="Q14" s="3">
        <f t="shared" si="0"/>
        <v>3.6666666666666667E-2</v>
      </c>
      <c r="R14" s="3">
        <f t="shared" si="0"/>
        <v>0.04</v>
      </c>
      <c r="S14" s="3">
        <f t="shared" si="0"/>
        <v>4.3333333333333335E-2</v>
      </c>
      <c r="T14" s="3">
        <f t="shared" si="0"/>
        <v>4.6666666666666669E-2</v>
      </c>
      <c r="U14" s="3">
        <f t="shared" si="0"/>
        <v>0.05</v>
      </c>
      <c r="V14" s="3">
        <f t="shared" si="0"/>
        <v>5.3333333333333337E-2</v>
      </c>
      <c r="W14" s="3">
        <f t="shared" si="0"/>
        <v>5.6666666666666671E-2</v>
      </c>
      <c r="X14" s="3">
        <f t="shared" si="0"/>
        <v>6.0000000000000005E-2</v>
      </c>
      <c r="Y14" s="3">
        <f t="shared" si="0"/>
        <v>6.3333333333333339E-2</v>
      </c>
      <c r="Z14" s="3">
        <f t="shared" si="0"/>
        <v>6.6666666666666666E-2</v>
      </c>
      <c r="AA14" s="3">
        <f t="shared" si="0"/>
        <v>6.9999999999999993E-2</v>
      </c>
      <c r="AB14" s="3">
        <f t="shared" si="0"/>
        <v>7.333333333333332E-2</v>
      </c>
      <c r="AC14" s="3">
        <f t="shared" si="0"/>
        <v>7.6666666666666647E-2</v>
      </c>
      <c r="AD14" s="3">
        <f t="shared" si="0"/>
        <v>7.9999999999999974E-2</v>
      </c>
      <c r="AE14" s="3">
        <f t="shared" si="0"/>
        <v>8.3333333333333301E-2</v>
      </c>
      <c r="AF14" s="3">
        <f t="shared" si="0"/>
        <v>8.6666666666666628E-2</v>
      </c>
      <c r="AG14" s="3">
        <f t="shared" si="0"/>
        <v>8.9999999999999955E-2</v>
      </c>
      <c r="AH14" s="3">
        <f t="shared" si="0"/>
        <v>9.3333333333333282E-2</v>
      </c>
      <c r="AI14" s="3">
        <f t="shared" si="0"/>
        <v>9.6666666666666609E-2</v>
      </c>
      <c r="AJ14" s="3">
        <f t="shared" si="0"/>
        <v>9.9999999999999936E-2</v>
      </c>
    </row>
    <row r="15" spans="2:36" x14ac:dyDescent="0.3">
      <c r="B15" s="1" t="s">
        <v>15</v>
      </c>
      <c r="C15" s="1">
        <f>C9/C3^2</f>
        <v>4139999.9999999991</v>
      </c>
      <c r="E15" s="2" t="s">
        <v>7</v>
      </c>
      <c r="F15" s="2">
        <f>F18*C3/C9+G15</f>
        <v>299.93571399410206</v>
      </c>
      <c r="G15" s="2">
        <v>293.26904732743537</v>
      </c>
      <c r="H15" s="2">
        <v>286.60289969943256</v>
      </c>
      <c r="I15" s="2">
        <v>279.93690772315028</v>
      </c>
      <c r="J15" s="2">
        <v>273.27106975170574</v>
      </c>
      <c r="K15" s="2">
        <v>266.60538376229874</v>
      </c>
      <c r="L15" s="2">
        <v>259.93984736114908</v>
      </c>
      <c r="M15" s="2">
        <v>253.27445778933981</v>
      </c>
      <c r="N15" s="2">
        <v>246.60921192955121</v>
      </c>
      <c r="O15" s="2">
        <v>239.9441063136706</v>
      </c>
      <c r="P15" s="2">
        <v>233.2791371312573</v>
      </c>
      <c r="Q15" s="2">
        <v>226.61430023884404</v>
      </c>
      <c r="R15" s="2">
        <v>219.94959117005078</v>
      </c>
      <c r="S15" s="2">
        <v>213.28500514648687</v>
      </c>
      <c r="T15" s="2">
        <v>206.62053708941505</v>
      </c>
      <c r="U15" s="2">
        <v>199.956181632148</v>
      </c>
      <c r="V15" s="2">
        <v>193.29193313314858</v>
      </c>
      <c r="W15" s="2">
        <v>186.62778568980013</v>
      </c>
      <c r="X15" s="2">
        <v>179.96373315281474</v>
      </c>
      <c r="Y15" s="2">
        <v>173.29976914124319</v>
      </c>
      <c r="Z15" s="2">
        <v>166.6358870580504</v>
      </c>
      <c r="AA15" s="2">
        <v>159.9720801062187</v>
      </c>
      <c r="AB15" s="2">
        <v>153.30834130533867</v>
      </c>
      <c r="AC15" s="2">
        <v>146.64466350864819</v>
      </c>
      <c r="AD15" s="2">
        <v>139.98103942047715</v>
      </c>
      <c r="AE15" s="2">
        <v>133.3174616140559</v>
      </c>
      <c r="AF15" s="2">
        <v>126.65392254964355</v>
      </c>
      <c r="AG15" s="2">
        <v>119.99041459293207</v>
      </c>
      <c r="AH15" s="2">
        <v>113.32693003368118</v>
      </c>
      <c r="AI15" s="2">
        <v>106.66346110453864</v>
      </c>
      <c r="AJ15" s="2">
        <f>C13</f>
        <v>100</v>
      </c>
    </row>
    <row r="16" spans="2:36" x14ac:dyDescent="0.3">
      <c r="B16" s="1" t="s">
        <v>12</v>
      </c>
      <c r="C16" s="1">
        <f>(2*C9/C3^2)+(C8*C7/C4)</f>
        <v>10073999.999999998</v>
      </c>
    </row>
    <row r="17" spans="2:36" x14ac:dyDescent="0.3">
      <c r="B17" s="1" t="s">
        <v>14</v>
      </c>
      <c r="C17" s="1">
        <f>C15</f>
        <v>4139999.9999999991</v>
      </c>
      <c r="G17">
        <f t="shared" ref="G17:AH17" si="1">G19*H17+G20</f>
        <v>293.26940741905457</v>
      </c>
      <c r="H17">
        <f t="shared" si="1"/>
        <v>286.6032568837087</v>
      </c>
      <c r="I17">
        <f t="shared" si="1"/>
        <v>279.93726112821582</v>
      </c>
      <c r="J17">
        <f t="shared" si="1"/>
        <v>273.27141851491808</v>
      </c>
      <c r="K17">
        <f t="shared" si="1"/>
        <v>266.60572703234573</v>
      </c>
      <c r="L17">
        <f t="shared" si="1"/>
        <v>259.94018430012704</v>
      </c>
      <c r="M17">
        <f t="shared" si="1"/>
        <v>253.27478757479889</v>
      </c>
      <c r="N17">
        <f t="shared" si="1"/>
        <v>246.60953375650297</v>
      </c>
      <c r="O17">
        <f t="shared" si="1"/>
        <v>239.9444193965528</v>
      </c>
      <c r="P17">
        <f t="shared" si="1"/>
        <v>233.27944070585158</v>
      </c>
      <c r="Q17">
        <f t="shared" si="1"/>
        <v>226.61459356414124</v>
      </c>
      <c r="R17">
        <f t="shared" si="1"/>
        <v>219.94987353005968</v>
      </c>
      <c r="S17">
        <f t="shared" si="1"/>
        <v>213.28527585198196</v>
      </c>
      <c r="T17">
        <f t="shared" si="1"/>
        <v>206.62079547961883</v>
      </c>
      <c r="U17">
        <f t="shared" si="1"/>
        <v>199.956427076344</v>
      </c>
      <c r="V17">
        <f t="shared" si="1"/>
        <v>193.29216503222074</v>
      </c>
      <c r="W17">
        <f t="shared" si="1"/>
        <v>186.62800347769536</v>
      </c>
      <c r="X17">
        <f t="shared" si="1"/>
        <v>179.96393629792453</v>
      </c>
      <c r="Y17">
        <f t="shared" si="1"/>
        <v>173.29995714770132</v>
      </c>
      <c r="Z17">
        <f t="shared" si="1"/>
        <v>166.63605946694332</v>
      </c>
      <c r="AA17">
        <f t="shared" si="1"/>
        <v>159.97223649670553</v>
      </c>
      <c r="AB17">
        <f t="shared" si="1"/>
        <v>153.30848129567875</v>
      </c>
      <c r="AC17">
        <f t="shared" si="1"/>
        <v>146.64478675713264</v>
      </c>
      <c r="AD17">
        <f t="shared" si="1"/>
        <v>139.98114562626307</v>
      </c>
      <c r="AE17">
        <f t="shared" si="1"/>
        <v>133.31755051790077</v>
      </c>
      <c r="AF17">
        <f t="shared" si="1"/>
        <v>126.65399393453784</v>
      </c>
      <c r="AG17">
        <f t="shared" si="1"/>
        <v>119.99046828462912</v>
      </c>
      <c r="AH17">
        <f t="shared" si="1"/>
        <v>113.32696590112243</v>
      </c>
      <c r="AI17">
        <f>AI19*AJ17+AI20</f>
        <v>106.66347906017363</v>
      </c>
      <c r="AJ17">
        <v>100</v>
      </c>
    </row>
    <row r="18" spans="2:36" x14ac:dyDescent="0.3">
      <c r="F18">
        <v>92000</v>
      </c>
      <c r="G18">
        <f>-$C$9*(G15-F15)/$C$3</f>
        <v>92000.000000000262</v>
      </c>
      <c r="H18">
        <f t="shared" ref="H18:AI18" si="2">-$C$9*(H15-G15)/$C$3</f>
        <v>91992.837266438888</v>
      </c>
      <c r="I18">
        <f t="shared" si="2"/>
        <v>91990.689272695337</v>
      </c>
      <c r="J18">
        <f t="shared" si="2"/>
        <v>91988.564005934735</v>
      </c>
      <c r="K18">
        <f t="shared" si="2"/>
        <v>91986.466653816533</v>
      </c>
      <c r="L18">
        <f t="shared" si="2"/>
        <v>91984.402335865379</v>
      </c>
      <c r="M18">
        <f t="shared" si="2"/>
        <v>91982.37609096794</v>
      </c>
      <c r="N18">
        <f t="shared" si="2"/>
        <v>91980.392865082642</v>
      </c>
      <c r="O18">
        <f t="shared" si="2"/>
        <v>91978.457499152355</v>
      </c>
      <c r="P18">
        <f t="shared" si="2"/>
        <v>91976.574717303549</v>
      </c>
      <c r="Q18">
        <f t="shared" si="2"/>
        <v>91974.749115303013</v>
      </c>
      <c r="R18">
        <f t="shared" si="2"/>
        <v>91972.985149346947</v>
      </c>
      <c r="S18">
        <f t="shared" si="2"/>
        <v>91971.287125182003</v>
      </c>
      <c r="T18">
        <f t="shared" si="2"/>
        <v>91969.659187591038</v>
      </c>
      <c r="U18">
        <f t="shared" si="2"/>
        <v>91968.105310285275</v>
      </c>
      <c r="V18">
        <f t="shared" si="2"/>
        <v>91966.629286192096</v>
      </c>
      <c r="W18">
        <f t="shared" si="2"/>
        <v>91965.234718208478</v>
      </c>
      <c r="X18">
        <f t="shared" si="2"/>
        <v>91963.925010398438</v>
      </c>
      <c r="Y18">
        <f t="shared" si="2"/>
        <v>91962.703359687395</v>
      </c>
      <c r="Z18">
        <f t="shared" si="2"/>
        <v>91961.572748060484</v>
      </c>
      <c r="AA18">
        <f t="shared" si="2"/>
        <v>91960.535935277483</v>
      </c>
      <c r="AB18">
        <f t="shared" si="2"/>
        <v>91959.595452144349</v>
      </c>
      <c r="AC18">
        <f t="shared" si="2"/>
        <v>91958.753594328606</v>
      </c>
      <c r="AD18">
        <f t="shared" si="2"/>
        <v>91958.012416760452</v>
      </c>
      <c r="AE18">
        <f t="shared" si="2"/>
        <v>91957.373728613165</v>
      </c>
      <c r="AF18">
        <f t="shared" si="2"/>
        <v>91956.839088890381</v>
      </c>
      <c r="AG18">
        <f t="shared" si="2"/>
        <v>91956.409802618466</v>
      </c>
      <c r="AH18">
        <f t="shared" si="2"/>
        <v>91956.086917662265</v>
      </c>
      <c r="AI18">
        <f t="shared" si="2"/>
        <v>91955.871222167028</v>
      </c>
    </row>
    <row r="19" spans="2:36" x14ac:dyDescent="0.3">
      <c r="E19" t="s">
        <v>11</v>
      </c>
      <c r="F19">
        <v>0</v>
      </c>
      <c r="G19">
        <f>$C$15/($C$16-$C$17*F19)</f>
        <v>0.41095890410958902</v>
      </c>
      <c r="H19">
        <f t="shared" ref="H19:AI19" si="3">$C$15/($C$16-$C$17*G19)</f>
        <v>0.49446827726349057</v>
      </c>
      <c r="I19">
        <f t="shared" si="3"/>
        <v>0.51576565211146774</v>
      </c>
      <c r="J19">
        <f t="shared" si="3"/>
        <v>0.52149397895713612</v>
      </c>
      <c r="K19">
        <f t="shared" si="3"/>
        <v>0.52305649933975962</v>
      </c>
      <c r="L19">
        <f t="shared" si="3"/>
        <v>0.52348433598989241</v>
      </c>
      <c r="M19">
        <f t="shared" si="3"/>
        <v>0.52360160483419294</v>
      </c>
      <c r="N19">
        <f t="shared" si="3"/>
        <v>0.52363375707534621</v>
      </c>
      <c r="O19">
        <f t="shared" si="3"/>
        <v>0.52364257312109652</v>
      </c>
      <c r="P19">
        <f t="shared" si="3"/>
        <v>0.5236449905056163</v>
      </c>
      <c r="Q19">
        <f t="shared" si="3"/>
        <v>0.52364565336314417</v>
      </c>
      <c r="R19">
        <f t="shared" si="3"/>
        <v>0.52364583512190344</v>
      </c>
      <c r="S19">
        <f t="shared" si="3"/>
        <v>0.52364588496106157</v>
      </c>
      <c r="T19">
        <f t="shared" si="3"/>
        <v>0.52364589862720901</v>
      </c>
      <c r="U19">
        <f t="shared" si="3"/>
        <v>0.52364590237453534</v>
      </c>
      <c r="V19">
        <f t="shared" si="3"/>
        <v>0.52364590340207107</v>
      </c>
      <c r="W19">
        <f t="shared" si="3"/>
        <v>0.52364590368382657</v>
      </c>
      <c r="X19">
        <f t="shared" si="3"/>
        <v>0.52364590376108522</v>
      </c>
      <c r="Y19">
        <f t="shared" si="3"/>
        <v>0.52364590378227005</v>
      </c>
      <c r="Z19">
        <f t="shared" si="3"/>
        <v>0.52364590378807896</v>
      </c>
      <c r="AA19">
        <f t="shared" si="3"/>
        <v>0.5236459037896718</v>
      </c>
      <c r="AB19">
        <f t="shared" si="3"/>
        <v>0.52364590379010867</v>
      </c>
      <c r="AC19">
        <f t="shared" si="3"/>
        <v>0.52364590379022846</v>
      </c>
      <c r="AD19">
        <f t="shared" si="3"/>
        <v>0.52364590379026121</v>
      </c>
      <c r="AE19">
        <f t="shared" si="3"/>
        <v>0.52364590379027021</v>
      </c>
      <c r="AF19">
        <f t="shared" si="3"/>
        <v>0.52364590379027265</v>
      </c>
      <c r="AG19">
        <f t="shared" si="3"/>
        <v>0.52364590379027331</v>
      </c>
      <c r="AH19">
        <f t="shared" si="3"/>
        <v>0.52364590379027354</v>
      </c>
      <c r="AI19">
        <f t="shared" si="3"/>
        <v>0.52364590379027354</v>
      </c>
    </row>
    <row r="20" spans="2:36" x14ac:dyDescent="0.3">
      <c r="E20" t="s">
        <v>16</v>
      </c>
      <c r="F20">
        <f>F15</f>
        <v>299.93571399410206</v>
      </c>
      <c r="G20">
        <f>(F20*$C$17-G21)/($C$16-$C$17*F19)</f>
        <v>175.4872470558866</v>
      </c>
      <c r="H20">
        <f t="shared" ref="H20:AI20" si="4">(G20*$C$17-H21)/($C$16-$C$17*G19)</f>
        <v>148.18316163177988</v>
      </c>
      <c r="I20">
        <f t="shared" si="4"/>
        <v>138.9932497544433</v>
      </c>
      <c r="J20">
        <f t="shared" si="4"/>
        <v>134.23813711206003</v>
      </c>
      <c r="K20">
        <f t="shared" si="4"/>
        <v>130.64232419458932</v>
      </c>
      <c r="L20">
        <f t="shared" si="4"/>
        <v>127.35480030355241</v>
      </c>
      <c r="M20">
        <f t="shared" si="4"/>
        <v>124.14963993248186</v>
      </c>
      <c r="N20">
        <f t="shared" si="4"/>
        <v>120.96653593862344</v>
      </c>
      <c r="O20">
        <f t="shared" si="4"/>
        <v>117.78937280909042</v>
      </c>
      <c r="P20">
        <f t="shared" si="4"/>
        <v>114.61384401052275</v>
      </c>
      <c r="Q20">
        <f t="shared" si="4"/>
        <v>111.43879833235222</v>
      </c>
      <c r="R20">
        <f t="shared" si="4"/>
        <v>108.26392713734305</v>
      </c>
      <c r="S20">
        <f t="shared" si="4"/>
        <v>105.08914655169846</v>
      </c>
      <c r="T20">
        <f t="shared" si="4"/>
        <v>101.91443253694071</v>
      </c>
      <c r="U20">
        <f t="shared" si="4"/>
        <v>98.739776896119167</v>
      </c>
      <c r="V20">
        <f t="shared" si="4"/>
        <v>95.565175551018072</v>
      </c>
      <c r="W20">
        <f t="shared" si="4"/>
        <v>92.390625424470059</v>
      </c>
      <c r="X20">
        <f t="shared" si="4"/>
        <v>89.216123615559127</v>
      </c>
      <c r="Y20">
        <f t="shared" si="4"/>
        <v>86.041667185417708</v>
      </c>
      <c r="Z20">
        <f t="shared" si="4"/>
        <v>82.867253105625622</v>
      </c>
      <c r="AA20">
        <f t="shared" si="4"/>
        <v>79.692878250007851</v>
      </c>
      <c r="AB20">
        <f t="shared" si="4"/>
        <v>76.518539398132276</v>
      </c>
      <c r="AC20">
        <f t="shared" si="4"/>
        <v>73.344233242076527</v>
      </c>
      <c r="AD20">
        <f t="shared" si="4"/>
        <v>70.169956394213131</v>
      </c>
      <c r="AE20">
        <f t="shared" si="4"/>
        <v>66.995705395402283</v>
      </c>
      <c r="AF20">
        <f t="shared" si="4"/>
        <v>63.821476723415174</v>
      </c>
      <c r="AG20">
        <f t="shared" si="4"/>
        <v>60.647266801526364</v>
      </c>
      <c r="AH20">
        <f t="shared" si="4"/>
        <v>57.473072007242898</v>
      </c>
      <c r="AI20">
        <f t="shared" si="4"/>
        <v>54.298888681146273</v>
      </c>
    </row>
    <row r="21" spans="2:36" x14ac:dyDescent="0.3">
      <c r="E21" t="s">
        <v>13</v>
      </c>
      <c r="F21">
        <f>(-($C$8*$C$7)/$C$4)*F15</f>
        <v>-538084670.90541911</v>
      </c>
      <c r="G21">
        <f t="shared" ref="G21:AI21" si="5">(-($C$8*$C$7)/$C$4)*G15</f>
        <v>-526124670.90541905</v>
      </c>
      <c r="H21">
        <f t="shared" si="5"/>
        <v>-514165602.06078202</v>
      </c>
      <c r="I21">
        <f t="shared" si="5"/>
        <v>-502206812.45533162</v>
      </c>
      <c r="J21">
        <f t="shared" si="5"/>
        <v>-490248299.13456011</v>
      </c>
      <c r="K21">
        <f t="shared" si="5"/>
        <v>-478290058.46956396</v>
      </c>
      <c r="L21">
        <f t="shared" si="5"/>
        <v>-466332086.16590142</v>
      </c>
      <c r="M21">
        <f t="shared" si="5"/>
        <v>-454374377.27407563</v>
      </c>
      <c r="N21">
        <f t="shared" si="5"/>
        <v>-442416926.20161486</v>
      </c>
      <c r="O21">
        <f t="shared" si="5"/>
        <v>-430459726.72672504</v>
      </c>
      <c r="P21">
        <f t="shared" si="5"/>
        <v>-418502772.0134756</v>
      </c>
      <c r="Q21">
        <f t="shared" si="5"/>
        <v>-406546054.62848622</v>
      </c>
      <c r="R21">
        <f t="shared" si="5"/>
        <v>-394589566.55907112</v>
      </c>
      <c r="S21">
        <f t="shared" si="5"/>
        <v>-382633299.23279744</v>
      </c>
      <c r="T21">
        <f t="shared" si="5"/>
        <v>-370677243.5384106</v>
      </c>
      <c r="U21">
        <f t="shared" si="5"/>
        <v>-358721389.84807354</v>
      </c>
      <c r="V21">
        <f t="shared" si="5"/>
        <v>-346765728.04086852</v>
      </c>
      <c r="W21">
        <f t="shared" si="5"/>
        <v>-334810247.52750146</v>
      </c>
      <c r="X21">
        <f t="shared" si="5"/>
        <v>-322854937.27614963</v>
      </c>
      <c r="Y21">
        <f t="shared" si="5"/>
        <v>-310899785.83939028</v>
      </c>
      <c r="Z21">
        <f t="shared" si="5"/>
        <v>-298944781.38214242</v>
      </c>
      <c r="AA21">
        <f t="shared" si="5"/>
        <v>-286989911.71055633</v>
      </c>
      <c r="AB21">
        <f t="shared" si="5"/>
        <v>-275035164.3017776</v>
      </c>
      <c r="AC21">
        <f t="shared" si="5"/>
        <v>-263080526.33451486</v>
      </c>
      <c r="AD21">
        <f t="shared" si="5"/>
        <v>-251125984.72033599</v>
      </c>
      <c r="AE21">
        <f t="shared" si="5"/>
        <v>-239171526.13561627</v>
      </c>
      <c r="AF21">
        <f t="shared" si="5"/>
        <v>-227217137.05406055</v>
      </c>
      <c r="AG21">
        <f t="shared" si="5"/>
        <v>-215262803.77972013</v>
      </c>
      <c r="AH21">
        <f t="shared" si="5"/>
        <v>-203308512.48042405</v>
      </c>
      <c r="AI21">
        <f t="shared" si="5"/>
        <v>-191354249.22154233</v>
      </c>
    </row>
  </sheetData>
  <conditionalFormatting sqref="F15:AJ15">
    <cfRule type="colorScale" priority="1">
      <colorScale>
        <cfvo type="min"/>
        <cfvo type="max"/>
        <color theme="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Явная схема</vt:lpstr>
      <vt:lpstr> Неявная схема 1-ый род</vt:lpstr>
      <vt:lpstr>Неявн схема 2-й род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</dc:creator>
  <cp:lastModifiedBy>User</cp:lastModifiedBy>
  <dcterms:created xsi:type="dcterms:W3CDTF">2021-02-19T09:41:52Z</dcterms:created>
  <dcterms:modified xsi:type="dcterms:W3CDTF">2021-03-18T17:39:10Z</dcterms:modified>
</cp:coreProperties>
</file>