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240" yWindow="120" windowWidth="19032" windowHeight="7968" activeTab="1"/>
  </bookViews>
  <sheets>
    <sheet name="Явная схема" sheetId="6" r:id="rId1"/>
    <sheet name="Неявная схема" sheetId="5" r:id="rId2"/>
  </sheets>
  <calcPr calcId="152511"/>
</workbook>
</file>

<file path=xl/calcChain.xml><?xml version="1.0" encoding="utf-8"?>
<calcChain xmlns="http://schemas.openxmlformats.org/spreadsheetml/2006/main">
  <c r="H17" i="6" l="1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G17" i="6"/>
  <c r="AJ15" i="6"/>
  <c r="F15" i="6"/>
  <c r="C3" i="6"/>
  <c r="G14" i="6" s="1"/>
  <c r="H14" i="6" s="1"/>
  <c r="I14" i="6" s="1"/>
  <c r="J14" i="6" s="1"/>
  <c r="K14" i="6" s="1"/>
  <c r="L14" i="6" s="1"/>
  <c r="M14" i="6" s="1"/>
  <c r="N14" i="6" s="1"/>
  <c r="O14" i="6" s="1"/>
  <c r="P14" i="6" s="1"/>
  <c r="Q14" i="6" s="1"/>
  <c r="R14" i="6" s="1"/>
  <c r="S14" i="6" s="1"/>
  <c r="T14" i="6" s="1"/>
  <c r="U14" i="6" s="1"/>
  <c r="V14" i="6" s="1"/>
  <c r="W14" i="6" s="1"/>
  <c r="X14" i="6" s="1"/>
  <c r="Y14" i="6" s="1"/>
  <c r="Z14" i="6" s="1"/>
  <c r="AA14" i="6" s="1"/>
  <c r="AB14" i="6" s="1"/>
  <c r="AC14" i="6" s="1"/>
  <c r="AD14" i="6" s="1"/>
  <c r="AE14" i="6" s="1"/>
  <c r="AF14" i="6" s="1"/>
  <c r="AG14" i="6" s="1"/>
  <c r="AH14" i="6" s="1"/>
  <c r="AI14" i="6" s="1"/>
  <c r="AJ14" i="6" s="1"/>
  <c r="C15" i="6" l="1"/>
  <c r="C17" i="6" s="1"/>
  <c r="C4" i="6"/>
  <c r="C16" i="6" s="1"/>
  <c r="F15" i="5" l="1"/>
  <c r="F20" i="5" s="1"/>
  <c r="AJ15" i="5"/>
  <c r="C3" i="5"/>
  <c r="C4" i="5" s="1"/>
  <c r="N21" i="5" s="1"/>
  <c r="AC21" i="5" l="1"/>
  <c r="U21" i="5"/>
  <c r="M21" i="5"/>
  <c r="F21" i="5"/>
  <c r="AB21" i="5"/>
  <c r="T21" i="5"/>
  <c r="L21" i="5"/>
  <c r="K21" i="5"/>
  <c r="C15" i="5"/>
  <c r="AH21" i="5"/>
  <c r="Z21" i="5"/>
  <c r="R21" i="5"/>
  <c r="J21" i="5"/>
  <c r="AI21" i="5"/>
  <c r="AA21" i="5"/>
  <c r="S21" i="5"/>
  <c r="C16" i="5"/>
  <c r="AG21" i="5"/>
  <c r="Y21" i="5"/>
  <c r="Q21" i="5"/>
  <c r="I21" i="5"/>
  <c r="H21" i="5"/>
  <c r="AF21" i="5"/>
  <c r="X21" i="5"/>
  <c r="P21" i="5"/>
  <c r="AE21" i="5"/>
  <c r="W21" i="5"/>
  <c r="O21" i="5"/>
  <c r="G21" i="5"/>
  <c r="AD21" i="5"/>
  <c r="V21" i="5"/>
  <c r="G14" i="5"/>
  <c r="H14" i="5" s="1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AC14" i="5" s="1"/>
  <c r="AD14" i="5" s="1"/>
  <c r="AE14" i="5" s="1"/>
  <c r="AF14" i="5" s="1"/>
  <c r="AG14" i="5" s="1"/>
  <c r="AH14" i="5" s="1"/>
  <c r="AI14" i="5" s="1"/>
  <c r="AJ14" i="5" s="1"/>
  <c r="C17" i="5" l="1"/>
  <c r="G20" i="5" s="1"/>
  <c r="G19" i="5" l="1"/>
  <c r="H19" i="5" s="1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AD19" i="5" s="1"/>
  <c r="AE19" i="5" s="1"/>
  <c r="AF19" i="5" s="1"/>
  <c r="AG19" i="5" s="1"/>
  <c r="AH19" i="5" s="1"/>
  <c r="AI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AA20" i="5" s="1"/>
  <c r="AB20" i="5" s="1"/>
  <c r="AC20" i="5" s="1"/>
  <c r="AD20" i="5" s="1"/>
  <c r="AE20" i="5" s="1"/>
  <c r="AF20" i="5" s="1"/>
  <c r="AG20" i="5" s="1"/>
  <c r="AH20" i="5" s="1"/>
  <c r="AI20" i="5" s="1"/>
  <c r="AI17" i="5" s="1"/>
  <c r="AH17" i="5" s="1"/>
  <c r="AG17" i="5" s="1"/>
  <c r="AF17" i="5" s="1"/>
  <c r="AE17" i="5" s="1"/>
  <c r="AD17" i="5" s="1"/>
  <c r="AC17" i="5" s="1"/>
  <c r="AB17" i="5" s="1"/>
  <c r="AA17" i="5" s="1"/>
  <c r="Z17" i="5" s="1"/>
  <c r="Y17" i="5" s="1"/>
  <c r="X17" i="5" s="1"/>
  <c r="W17" i="5" s="1"/>
  <c r="V17" i="5" s="1"/>
  <c r="U17" i="5" s="1"/>
  <c r="T17" i="5" s="1"/>
  <c r="S17" i="5" s="1"/>
  <c r="R17" i="5" s="1"/>
  <c r="Q17" i="5" s="1"/>
  <c r="P17" i="5" s="1"/>
  <c r="O17" i="5" s="1"/>
  <c r="N17" i="5" s="1"/>
  <c r="M17" i="5" s="1"/>
  <c r="L17" i="5" s="1"/>
  <c r="K17" i="5" s="1"/>
  <c r="J17" i="5" s="1"/>
  <c r="I17" i="5" s="1"/>
  <c r="H17" i="5" s="1"/>
  <c r="G17" i="5" s="1"/>
</calcChain>
</file>

<file path=xl/sharedStrings.xml><?xml version="1.0" encoding="utf-8"?>
<sst xmlns="http://schemas.openxmlformats.org/spreadsheetml/2006/main" count="33" uniqueCount="17">
  <si>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</si>
  <si>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</si>
  <si>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</si>
  <si>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</si>
  <si>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</si>
  <si>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</si>
  <si>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</si>
  <si>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</si>
  <si>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</si>
  <si>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</si>
  <si>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</si>
  <si>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alfa</t>
  </si>
  <si>
    <t>B</t>
  </si>
  <si>
    <t>F</t>
  </si>
  <si>
    <t>C</t>
  </si>
  <si>
    <t>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</si>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</sst>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Font="1" applyBorder="1"/>
    <xf numFmtId="0" fontId="0" fillId="0" borderId="1" xfId="0" applyBorder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Неявная</a:t>
            </a:r>
            <a:r>
              <a:rPr lang="ru-RU" baseline="0"/>
              <a:t> схема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8047079459928795E-2"/>
          <c:y val="4.4332906757928489E-2"/>
          <c:w val="0.71104925472966352"/>
          <c:h val="0.82391473502917834"/>
        </c:manualLayout>
      </c:layout>
      <c:scatterChart>
        <c:scatterStyle val="smoothMarker"/>
        <c:varyColors val="0"/>
        <c:ser>
          <c:idx val="1"/>
          <c:order val="0"/>
          <c:tx>
            <c:v>L, м</c:v>
          </c:tx>
          <c:marker>
            <c:symbol val="none"/>
          </c:marker>
          <c:xVal>
            <c:numRef>
              <c:f>'Неявная схема'!$F$14:$AJ$14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'Неявная схема'!$F$14:$AJ$14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схема'!$R$27</c:f>
              <c:numCache>
                <c:formatCode>General</c:formatCode>
                <c:ptCount val="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7346224"/>
        <c:axId val="-1747350032"/>
      </c:scatterChart>
      <c:valAx>
        <c:axId val="-1747346224"/>
        <c:scaling>
          <c:orientation val="minMax"/>
          <c:max val="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 b="1" i="0" baseline="0">
                    <a:effectLst/>
                  </a:rPr>
                  <a:t>L, </a:t>
                </a:r>
                <a:r>
                  <a:rPr lang="ru-RU" sz="1600" b="1" i="0" baseline="0">
                    <a:effectLst/>
                  </a:rPr>
                  <a:t>м</a:t>
                </a:r>
                <a:endParaRPr lang="ru-RU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632555495132289"/>
              <c:y val="0.86411894216826357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-1747350032"/>
        <c:crosses val="autoZero"/>
        <c:crossBetween val="midCat"/>
      </c:valAx>
      <c:valAx>
        <c:axId val="-1747350032"/>
        <c:scaling>
          <c:orientation val="minMax"/>
          <c:max val="3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Т,</a:t>
                </a:r>
                <a:r>
                  <a:rPr lang="ru-RU" baseline="0"/>
                  <a:t> К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9.7112842829363555E-3"/>
              <c:y val="0.4794964100842333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-174734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Явная</a:t>
            </a:r>
            <a:r>
              <a:rPr lang="ru-RU" baseline="0"/>
              <a:t> схема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8047079459928795E-2"/>
          <c:y val="4.4332906757928489E-2"/>
          <c:w val="0.71104925472966352"/>
          <c:h val="0.82391473502917834"/>
        </c:manualLayout>
      </c:layout>
      <c:scatterChart>
        <c:scatterStyle val="smoothMarker"/>
        <c:varyColors val="0"/>
        <c:ser>
          <c:idx val="1"/>
          <c:order val="0"/>
          <c:tx>
            <c:v>L, м</c:v>
          </c:tx>
          <c:marker>
            <c:symbol val="none"/>
          </c:marker>
          <c:xVal>
            <c:numRef>
              <c:f>'Неявная схема'!$F$14:$AJ$14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'Неявная схема'!$F$14:$AJ$14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схема'!$R$27</c:f>
              <c:numCache>
                <c:formatCode>General</c:formatCode>
                <c:ptCount val="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7340240"/>
        <c:axId val="-1747349488"/>
      </c:scatterChart>
      <c:valAx>
        <c:axId val="-1747340240"/>
        <c:scaling>
          <c:orientation val="minMax"/>
          <c:max val="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 b="1" i="0" baseline="0">
                    <a:effectLst/>
                  </a:rPr>
                  <a:t>L, </a:t>
                </a:r>
                <a:r>
                  <a:rPr lang="ru-RU" sz="1600" b="1" i="0" baseline="0">
                    <a:effectLst/>
                  </a:rPr>
                  <a:t>м</a:t>
                </a:r>
                <a:endParaRPr lang="ru-RU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632555495132289"/>
              <c:y val="0.86411894216826357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-1747349488"/>
        <c:crosses val="autoZero"/>
        <c:crossBetween val="midCat"/>
      </c:valAx>
      <c:valAx>
        <c:axId val="-1747349488"/>
        <c:scaling>
          <c:orientation val="minMax"/>
          <c:max val="3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Т,</a:t>
                </a:r>
                <a:r>
                  <a:rPr lang="ru-RU" baseline="0"/>
                  <a:t> К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9.7112842829363555E-3"/>
              <c:y val="0.4794964100842333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-174734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391298</xdr:colOff>
      <xdr:row>24</xdr:row>
      <xdr:rowOff>29901</xdr:rowOff>
    </xdr:from>
    <xdr:to>
      <xdr:col>17</xdr:col>
      <xdr:colOff>154461</xdr:colOff>
      <xdr:row>39</xdr:row>
      <xdr:rowOff>144684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418070</xdr:colOff>
      <xdr:row>18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9294340" y="347636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19</xdr:col>
      <xdr:colOff>0</xdr:colOff>
      <xdr:row>24</xdr:row>
      <xdr:rowOff>0</xdr:rowOff>
    </xdr:from>
    <xdr:to>
      <xdr:col>27</xdr:col>
      <xdr:colOff>370703</xdr:colOff>
      <xdr:row>39</xdr:row>
      <xdr:rowOff>114783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J17"/>
  <sheetViews>
    <sheetView topLeftCell="F1" zoomScale="73" zoomScaleNormal="73" workbookViewId="0">
      <selection activeCell="G15" sqref="G15:AI15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(C8*C7*C3^2)/(2*C9)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6" spans="2:36" x14ac:dyDescent="0.3">
      <c r="B6" s="1"/>
      <c r="C6" s="1"/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</row>
    <row r="10" spans="2:36" x14ac:dyDescent="0.3">
      <c r="B10" s="1"/>
      <c r="C10" s="1"/>
    </row>
    <row r="11" spans="2:36" x14ac:dyDescent="0.3">
      <c r="B11" s="1"/>
      <c r="C11" s="1"/>
    </row>
    <row r="12" spans="2:36" x14ac:dyDescent="0.3">
      <c r="B12" s="1" t="s">
        <v>8</v>
      </c>
      <c r="C12" s="1">
        <v>300</v>
      </c>
    </row>
    <row r="13" spans="2:36" x14ac:dyDescent="0.3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2:36" x14ac:dyDescent="0.3">
      <c r="B14" s="1" t="s">
        <v>10</v>
      </c>
      <c r="C14" s="1"/>
      <c r="E14" s="2" t="s">
        <v>0</v>
      </c>
      <c r="F14" s="3">
        <v>0</v>
      </c>
      <c r="G14" s="3">
        <f>F14+$C$3</f>
        <v>3.3333333333333335E-3</v>
      </c>
      <c r="H14" s="3">
        <f>G14+$C$3</f>
        <v>6.6666666666666671E-3</v>
      </c>
      <c r="I14" s="3">
        <f t="shared" ref="I14:AJ14" si="0">H14+$C$3</f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2:36" x14ac:dyDescent="0.3">
      <c r="B15" s="1" t="s">
        <v>15</v>
      </c>
      <c r="C15" s="1">
        <f>C9/C3^2</f>
        <v>4139999.9999999991</v>
      </c>
      <c r="E15" s="2" t="s">
        <v>7</v>
      </c>
      <c r="F15" s="2">
        <f>C12</f>
        <v>300</v>
      </c>
      <c r="G15" s="2">
        <v>280.34602914679897</v>
      </c>
      <c r="H15" s="2">
        <v>260.69205829359794</v>
      </c>
      <c r="I15" s="2">
        <v>241.69187227593491</v>
      </c>
      <c r="J15" s="2">
        <v>222.69168625827183</v>
      </c>
      <c r="K15" s="2">
        <v>204.95390631913148</v>
      </c>
      <c r="L15" s="2">
        <v>187.21612637999107</v>
      </c>
      <c r="M15" s="2">
        <v>171.26453784334268</v>
      </c>
      <c r="N15" s="2">
        <v>155.31294930669429</v>
      </c>
      <c r="O15" s="2">
        <v>141.55671337374599</v>
      </c>
      <c r="P15" s="2">
        <v>127.80047744079765</v>
      </c>
      <c r="Q15" s="2">
        <v>116.51671674932982</v>
      </c>
      <c r="R15" s="2">
        <v>105.23295605786197</v>
      </c>
      <c r="S15" s="2">
        <v>96.561989352755049</v>
      </c>
      <c r="T15" s="2">
        <v>87.891022647648128</v>
      </c>
      <c r="U15" s="2">
        <v>81.842538774051832</v>
      </c>
      <c r="V15" s="2">
        <v>75.794054900455549</v>
      </c>
      <c r="W15" s="2">
        <v>72.261187114604226</v>
      </c>
      <c r="X15" s="2">
        <v>68.728319328752917</v>
      </c>
      <c r="Y15" s="2">
        <v>67.506108522455037</v>
      </c>
      <c r="Z15" s="2">
        <v>66.283897716157142</v>
      </c>
      <c r="AA15" s="2">
        <v>67.088962026000345</v>
      </c>
      <c r="AB15" s="2">
        <v>67.894026335843549</v>
      </c>
      <c r="AC15" s="2">
        <v>70.383127200086093</v>
      </c>
      <c r="AD15" s="2">
        <v>72.872228064328638</v>
      </c>
      <c r="AE15" s="2">
        <v>76.658491877071754</v>
      </c>
      <c r="AF15" s="2">
        <v>80.444755689814855</v>
      </c>
      <c r="AG15" s="2">
        <v>85.111263870845988</v>
      </c>
      <c r="AH15" s="2">
        <v>89.777772051877108</v>
      </c>
      <c r="AI15" s="2">
        <v>94.888886025938547</v>
      </c>
      <c r="AJ15" s="2">
        <f>C13</f>
        <v>100</v>
      </c>
    </row>
    <row r="16" spans="2:36" x14ac:dyDescent="0.3">
      <c r="B16" s="1" t="s">
        <v>12</v>
      </c>
      <c r="C16" s="1">
        <f>(2*C9/C3^2)+(C8*C7/C4)</f>
        <v>16559999.999999996</v>
      </c>
    </row>
    <row r="17" spans="2:35" x14ac:dyDescent="0.3">
      <c r="B17" s="1" t="s">
        <v>14</v>
      </c>
      <c r="C17" s="1">
        <f>C15</f>
        <v>4139999.9999999991</v>
      </c>
      <c r="G17">
        <f>G15+(($C$9*$C$4)/($C$8*$C$7))*((H15-2*G15+F15)/($C$3^2))</f>
        <v>280.34602914679897</v>
      </c>
      <c r="H17">
        <f t="shared" ref="H17:AI17" si="1">H15+(($C$9*$C$4)/($C$8*$C$7))*((I15-2*H15+G15)/($C$3^2))</f>
        <v>261.01895071136693</v>
      </c>
      <c r="I17">
        <f t="shared" si="1"/>
        <v>241.69187227593488</v>
      </c>
      <c r="J17">
        <f t="shared" si="1"/>
        <v>223.32288929753321</v>
      </c>
      <c r="K17">
        <f t="shared" si="1"/>
        <v>204.95390631913145</v>
      </c>
      <c r="L17">
        <f t="shared" si="1"/>
        <v>188.10922208123708</v>
      </c>
      <c r="M17">
        <f t="shared" si="1"/>
        <v>171.26453784334268</v>
      </c>
      <c r="N17">
        <f t="shared" si="1"/>
        <v>156.41062560854434</v>
      </c>
      <c r="O17">
        <f t="shared" si="1"/>
        <v>141.55671337374596</v>
      </c>
      <c r="P17">
        <f t="shared" si="1"/>
        <v>129.0367150615379</v>
      </c>
      <c r="Q17">
        <f t="shared" si="1"/>
        <v>116.51671674932982</v>
      </c>
      <c r="R17">
        <f t="shared" si="1"/>
        <v>106.53935305104244</v>
      </c>
      <c r="S17">
        <f t="shared" si="1"/>
        <v>96.561989352755049</v>
      </c>
      <c r="T17">
        <f t="shared" si="1"/>
        <v>89.202264063403447</v>
      </c>
      <c r="U17">
        <f t="shared" si="1"/>
        <v>81.842538774051832</v>
      </c>
      <c r="V17">
        <f t="shared" si="1"/>
        <v>77.051862944328036</v>
      </c>
      <c r="W17">
        <f t="shared" si="1"/>
        <v>72.26118711460424</v>
      </c>
      <c r="X17">
        <f t="shared" si="1"/>
        <v>69.883647818529624</v>
      </c>
      <c r="Y17">
        <f t="shared" si="1"/>
        <v>67.506108522455037</v>
      </c>
      <c r="Z17">
        <f t="shared" si="1"/>
        <v>67.297535274227698</v>
      </c>
      <c r="AA17">
        <f t="shared" si="1"/>
        <v>67.088962026000345</v>
      </c>
      <c r="AB17">
        <f t="shared" si="1"/>
        <v>68.736044613043219</v>
      </c>
      <c r="AC17">
        <f t="shared" si="1"/>
        <v>70.383127200086093</v>
      </c>
      <c r="AD17">
        <f t="shared" si="1"/>
        <v>73.520809538578931</v>
      </c>
      <c r="AE17">
        <f t="shared" si="1"/>
        <v>76.658491877071754</v>
      </c>
      <c r="AF17">
        <f t="shared" si="1"/>
        <v>80.884877873958871</v>
      </c>
      <c r="AG17">
        <f t="shared" si="1"/>
        <v>85.111263870845988</v>
      </c>
      <c r="AH17">
        <f t="shared" si="1"/>
        <v>90.000074948392268</v>
      </c>
      <c r="AI17">
        <f t="shared" si="1"/>
        <v>94.888886025938547</v>
      </c>
    </row>
  </sheetData>
  <conditionalFormatting sqref="F15:AJ15">
    <cfRule type="colorScale" priority="1">
      <colorScale>
        <cfvo type="min"/>
        <cfvo type="max"/>
        <color theme="4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J21"/>
  <sheetViews>
    <sheetView tabSelected="1" zoomScale="74" zoomScaleNormal="74" workbookViewId="0">
      <selection activeCell="R24" sqref="R24"/>
    </sheetView>
  </sheetViews>
  <sheetFormatPr defaultRowHeight="14.4" x14ac:dyDescent="0.3"/>
  <cols>
    <col min="5" max="5" width="5.33203125" bestFit="1" customWidth="1"/>
    <col min="6" max="6" width="8.88671875" customWidth="1"/>
    <col min="35" max="35" width="7.44140625" customWidth="1"/>
    <col min="36" max="36" width="7.21875" customWidth="1"/>
  </cols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(C8*C7*C3^2)/(2*C9)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6" spans="2:36" x14ac:dyDescent="0.3">
      <c r="B6" s="1"/>
      <c r="C6" s="1"/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</row>
    <row r="10" spans="2:36" x14ac:dyDescent="0.3">
      <c r="B10" s="1"/>
      <c r="C10" s="1"/>
    </row>
    <row r="11" spans="2:36" x14ac:dyDescent="0.3">
      <c r="B11" s="1"/>
      <c r="C11" s="1"/>
    </row>
    <row r="12" spans="2:36" x14ac:dyDescent="0.3">
      <c r="B12" s="1" t="s">
        <v>8</v>
      </c>
      <c r="C12" s="1">
        <v>300</v>
      </c>
    </row>
    <row r="13" spans="2:36" x14ac:dyDescent="0.3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2:36" x14ac:dyDescent="0.3">
      <c r="B14" s="1" t="s">
        <v>10</v>
      </c>
      <c r="C14" s="1"/>
      <c r="E14" s="2" t="s">
        <v>0</v>
      </c>
      <c r="F14" s="3">
        <v>0</v>
      </c>
      <c r="G14" s="3">
        <f>F14+$C$3</f>
        <v>3.3333333333333335E-3</v>
      </c>
      <c r="H14" s="3">
        <f>G14+$C$3</f>
        <v>6.6666666666666671E-3</v>
      </c>
      <c r="I14" s="3">
        <f t="shared" ref="I14:AJ14" si="0">H14+$C$3</f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2:36" x14ac:dyDescent="0.3">
      <c r="B15" s="1" t="s">
        <v>15</v>
      </c>
      <c r="C15" s="1">
        <f>C9/C3^2</f>
        <v>4139999.9999999991</v>
      </c>
      <c r="E15" s="2" t="s">
        <v>7</v>
      </c>
      <c r="F15" s="2">
        <f>C12</f>
        <v>300</v>
      </c>
      <c r="G15" s="2">
        <v>280.20114262798575</v>
      </c>
      <c r="H15" s="2">
        <v>260.57053452366904</v>
      </c>
      <c r="I15" s="2">
        <v>241.27335396752636</v>
      </c>
      <c r="J15" s="2">
        <v>222.46874067679317</v>
      </c>
      <c r="K15" s="2">
        <v>204.30702925674697</v>
      </c>
      <c r="L15" s="2">
        <v>186.92727013670742</v>
      </c>
      <c r="M15" s="2">
        <v>170.45510875086381</v>
      </c>
      <c r="N15" s="2">
        <v>155.00107463428773</v>
      </c>
      <c r="O15" s="2">
        <v>140.65931099015722</v>
      </c>
      <c r="P15" s="2">
        <v>127.5067536180474</v>
      </c>
      <c r="Q15" s="2">
        <v>115.60274732960713</v>
      </c>
      <c r="R15" s="2">
        <v>104.98906943559072</v>
      </c>
      <c r="S15" s="2">
        <v>95.690314648076594</v>
      </c>
      <c r="T15" s="2">
        <v>87.714584570723446</v>
      </c>
      <c r="U15" s="2">
        <v>81.054418255410752</v>
      </c>
      <c r="V15" s="2">
        <v>75.68789812172092</v>
      </c>
      <c r="W15" s="2">
        <v>71.579867553261167</v>
      </c>
      <c r="X15" s="2">
        <v>68.68320209085141</v>
      </c>
      <c r="Y15" s="2">
        <v>66.940084503407604</v>
      </c>
      <c r="Z15" s="2">
        <v>66.283244166503039</v>
      </c>
      <c r="AA15" s="2">
        <v>66.637132112902975</v>
      </c>
      <c r="AB15" s="2">
        <v>67.919013891339318</v>
      </c>
      <c r="AC15" s="2">
        <v>70.039972168091296</v>
      </c>
      <c r="AD15" s="2">
        <v>72.905819217013814</v>
      </c>
      <c r="AE15" s="2">
        <v>76.417925689672472</v>
      </c>
      <c r="AF15" s="2">
        <v>80.473976208137344</v>
      </c>
      <c r="AG15" s="2">
        <v>84.968664482862408</v>
      </c>
      <c r="AH15" s="2">
        <v>89.794341128753075</v>
      </c>
      <c r="AI15" s="2">
        <v>94.841626578966242</v>
      </c>
      <c r="AJ15" s="2">
        <f>C13</f>
        <v>100</v>
      </c>
    </row>
    <row r="16" spans="2:36" x14ac:dyDescent="0.3">
      <c r="B16" s="1" t="s">
        <v>12</v>
      </c>
      <c r="C16" s="1">
        <f>(2*C9/C3^2)+(C8*C7/C4)</f>
        <v>16559999.999999996</v>
      </c>
    </row>
    <row r="17" spans="2:36" x14ac:dyDescent="0.3">
      <c r="B17" s="1" t="s">
        <v>14</v>
      </c>
      <c r="C17" s="1">
        <f>C15</f>
        <v>4139999.9999999991</v>
      </c>
      <c r="G17">
        <f t="shared" ref="G17:AH17" si="1">G19*H17+G20</f>
        <v>280.28451209215399</v>
      </c>
      <c r="H17">
        <f t="shared" si="1"/>
        <v>260.73576311264441</v>
      </c>
      <c r="I17">
        <f t="shared" si="1"/>
        <v>241.51747131108542</v>
      </c>
      <c r="J17">
        <f t="shared" si="1"/>
        <v>222.78741419664442</v>
      </c>
      <c r="K17">
        <f t="shared" si="1"/>
        <v>204.69470412190589</v>
      </c>
      <c r="L17">
        <f t="shared" si="1"/>
        <v>187.37734377748521</v>
      </c>
      <c r="M17">
        <f t="shared" si="1"/>
        <v>170.96013071462008</v>
      </c>
      <c r="N17">
        <f t="shared" si="1"/>
        <v>155.55296157926747</v>
      </c>
      <c r="O17">
        <f t="shared" si="1"/>
        <v>141.24956633387433</v>
      </c>
      <c r="P17">
        <f t="shared" si="1"/>
        <v>128.12668177591533</v>
      </c>
      <c r="Q17">
        <f t="shared" si="1"/>
        <v>116.24365353369214</v>
      </c>
      <c r="R17">
        <f t="shared" si="1"/>
        <v>105.64243769963892</v>
      </c>
      <c r="S17">
        <f t="shared" si="1"/>
        <v>96.347958393682063</v>
      </c>
      <c r="T17">
        <f t="shared" si="1"/>
        <v>88.368766578936132</v>
      </c>
      <c r="U17">
        <f t="shared" si="1"/>
        <v>81.697938780615559</v>
      </c>
      <c r="V17">
        <f t="shared" si="1"/>
        <v>76.314152032704555</v>
      </c>
      <c r="W17">
        <f t="shared" si="1"/>
        <v>72.182873106760752</v>
      </c>
      <c r="X17">
        <f t="shared" si="1"/>
        <v>69.257605287816148</v>
      </c>
      <c r="Y17">
        <f t="shared" si="1"/>
        <v>67.481143862800991</v>
      </c>
      <c r="Z17">
        <f t="shared" si="1"/>
        <v>66.786801156572579</v>
      </c>
      <c r="AA17">
        <f t="shared" si="1"/>
        <v>67.099572430483207</v>
      </c>
      <c r="AB17">
        <f t="shared" si="1"/>
        <v>68.337224339554268</v>
      </c>
      <c r="AC17">
        <f t="shared" si="1"/>
        <v>70.411297145055215</v>
      </c>
      <c r="AD17">
        <f t="shared" si="1"/>
        <v>73.228019904484</v>
      </c>
      <c r="AE17">
        <f t="shared" si="1"/>
        <v>76.689144038853158</v>
      </c>
      <c r="AF17">
        <f t="shared" si="1"/>
        <v>80.692704871583686</v>
      </c>
      <c r="AG17">
        <f t="shared" si="1"/>
        <v>85.13372303120687</v>
      </c>
      <c r="AH17">
        <f t="shared" si="1"/>
        <v>89.904858287518977</v>
      </c>
      <c r="AI17">
        <f>AI19*AJ17+AI20</f>
        <v>94.897027861362858</v>
      </c>
      <c r="AJ17">
        <v>100</v>
      </c>
    </row>
    <row r="19" spans="2:36" x14ac:dyDescent="0.3">
      <c r="E19" t="s">
        <v>11</v>
      </c>
      <c r="F19">
        <v>0</v>
      </c>
      <c r="G19">
        <f>$C$15/($C$16-$C$17*F19)</f>
        <v>0.25</v>
      </c>
      <c r="H19">
        <f t="shared" ref="H19:AI19" si="2">$C$15/($C$16-$C$17*G19)</f>
        <v>0.26666666666666666</v>
      </c>
      <c r="I19">
        <f t="shared" si="2"/>
        <v>0.26785714285714285</v>
      </c>
      <c r="J19">
        <f t="shared" si="2"/>
        <v>0.26794258373205743</v>
      </c>
      <c r="K19">
        <f t="shared" si="2"/>
        <v>0.26794871794871794</v>
      </c>
      <c r="L19">
        <f t="shared" si="2"/>
        <v>0.26794915836482308</v>
      </c>
      <c r="M19">
        <f t="shared" si="2"/>
        <v>0.26794918998527245</v>
      </c>
      <c r="N19">
        <f t="shared" si="2"/>
        <v>0.26794919225551855</v>
      </c>
      <c r="O19">
        <f t="shared" si="2"/>
        <v>0.26794919241851489</v>
      </c>
      <c r="P19">
        <f t="shared" si="2"/>
        <v>0.26794919243021753</v>
      </c>
      <c r="Q19">
        <f t="shared" si="2"/>
        <v>0.26794919243105775</v>
      </c>
      <c r="R19">
        <f t="shared" si="2"/>
        <v>0.26794919243111803</v>
      </c>
      <c r="S19">
        <f t="shared" si="2"/>
        <v>0.26794919243112236</v>
      </c>
      <c r="T19">
        <f t="shared" si="2"/>
        <v>0.2679491924311227</v>
      </c>
      <c r="U19">
        <f t="shared" si="2"/>
        <v>0.2679491924311227</v>
      </c>
      <c r="V19">
        <f t="shared" si="2"/>
        <v>0.2679491924311227</v>
      </c>
      <c r="W19">
        <f t="shared" si="2"/>
        <v>0.2679491924311227</v>
      </c>
      <c r="X19">
        <f t="shared" si="2"/>
        <v>0.2679491924311227</v>
      </c>
      <c r="Y19">
        <f t="shared" si="2"/>
        <v>0.2679491924311227</v>
      </c>
      <c r="Z19">
        <f t="shared" si="2"/>
        <v>0.2679491924311227</v>
      </c>
      <c r="AA19">
        <f t="shared" si="2"/>
        <v>0.2679491924311227</v>
      </c>
      <c r="AB19">
        <f t="shared" si="2"/>
        <v>0.2679491924311227</v>
      </c>
      <c r="AC19">
        <f t="shared" si="2"/>
        <v>0.2679491924311227</v>
      </c>
      <c r="AD19">
        <f t="shared" si="2"/>
        <v>0.2679491924311227</v>
      </c>
      <c r="AE19">
        <f t="shared" si="2"/>
        <v>0.2679491924311227</v>
      </c>
      <c r="AF19">
        <f t="shared" si="2"/>
        <v>0.2679491924311227</v>
      </c>
      <c r="AG19">
        <f t="shared" si="2"/>
        <v>0.2679491924311227</v>
      </c>
      <c r="AH19">
        <f t="shared" si="2"/>
        <v>0.2679491924311227</v>
      </c>
      <c r="AI19">
        <f t="shared" si="2"/>
        <v>0.2679491924311227</v>
      </c>
    </row>
    <row r="20" spans="2:36" x14ac:dyDescent="0.3">
      <c r="E20" t="s">
        <v>16</v>
      </c>
      <c r="F20">
        <f>F15</f>
        <v>300</v>
      </c>
      <c r="G20">
        <f>(F20*$C$17-G21)/($C$16-$C$17*F19)</f>
        <v>215.1005713139929</v>
      </c>
      <c r="H20">
        <f t="shared" ref="H20:AI20" si="3">(G20*$C$17-H21)/($C$16-$C$17*G19)</f>
        <v>196.33110409635498</v>
      </c>
      <c r="I20">
        <f t="shared" si="3"/>
        <v>181.84227107984137</v>
      </c>
      <c r="J20">
        <f t="shared" si="3"/>
        <v>167.94098629795192</v>
      </c>
      <c r="K20">
        <f t="shared" si="3"/>
        <v>154.48718508409254</v>
      </c>
      <c r="L20">
        <f t="shared" si="3"/>
        <v>141.56872063856261</v>
      </c>
      <c r="M20">
        <f t="shared" si="3"/>
        <v>129.27984065964515</v>
      </c>
      <c r="N20">
        <f t="shared" si="3"/>
        <v>117.70525437366356</v>
      </c>
      <c r="O20">
        <f t="shared" si="3"/>
        <v>106.91812542475377</v>
      </c>
      <c r="P20">
        <f t="shared" si="3"/>
        <v>96.979288686424511</v>
      </c>
      <c r="Q20">
        <f t="shared" si="3"/>
        <v>87.936847665625564</v>
      </c>
      <c r="R20">
        <f t="shared" si="3"/>
        <v>79.826080055664846</v>
      </c>
      <c r="S20">
        <f t="shared" si="3"/>
        <v>72.669618752721775</v>
      </c>
      <c r="T20">
        <f t="shared" si="3"/>
        <v>66.477869859382892</v>
      </c>
      <c r="U20">
        <f t="shared" si="3"/>
        <v>61.249623372386452</v>
      </c>
      <c r="V20">
        <f t="shared" si="3"/>
        <v>56.972809476389799</v>
      </c>
      <c r="W20">
        <f t="shared" si="3"/>
        <v>53.625353700176966</v>
      </c>
      <c r="X20">
        <f t="shared" si="3"/>
        <v>51.176087285450215</v>
      </c>
      <c r="Y20">
        <f t="shared" si="3"/>
        <v>49.585674427839393</v>
      </c>
      <c r="Z20">
        <f t="shared" si="3"/>
        <v>48.807524911350974</v>
      </c>
      <c r="AA20">
        <f t="shared" si="3"/>
        <v>48.788668355715174</v>
      </c>
      <c r="AB20">
        <f t="shared" si="3"/>
        <v>49.470574131508911</v>
      </c>
      <c r="AC20">
        <f t="shared" si="3"/>
        <v>50.789908348318555</v>
      </c>
      <c r="AD20">
        <f t="shared" si="3"/>
        <v>52.679225691039257</v>
      </c>
      <c r="AE20">
        <f t="shared" si="3"/>
        <v>55.067598933429394</v>
      </c>
      <c r="AF20">
        <f t="shared" si="3"/>
        <v>57.881192536716931</v>
      </c>
      <c r="AG20">
        <f t="shared" si="3"/>
        <v>61.043788857431636</v>
      </c>
      <c r="AH20">
        <f t="shared" si="3"/>
        <v>64.477276307953048</v>
      </c>
      <c r="AI20">
        <f t="shared" si="3"/>
        <v>68.102108618250597</v>
      </c>
    </row>
    <row r="21" spans="2:36" x14ac:dyDescent="0.3">
      <c r="E21" t="s">
        <v>13</v>
      </c>
      <c r="F21">
        <f>(-($C$8*$C$7)/$C$4)*F15</f>
        <v>-2483999999.9999995</v>
      </c>
      <c r="G21">
        <f t="shared" ref="G21:AI21" si="4">(-($C$8*$C$7)/$C$4)*G15</f>
        <v>-2320065460.9597216</v>
      </c>
      <c r="H21">
        <f t="shared" si="4"/>
        <v>-2157524025.8559794</v>
      </c>
      <c r="I21">
        <f t="shared" si="4"/>
        <v>-1997743370.8511181</v>
      </c>
      <c r="J21">
        <f t="shared" si="4"/>
        <v>-1842041172.8038473</v>
      </c>
      <c r="K21">
        <f t="shared" si="4"/>
        <v>-1691662202.2458646</v>
      </c>
      <c r="L21">
        <f t="shared" si="4"/>
        <v>-1547757796.7319372</v>
      </c>
      <c r="M21">
        <f t="shared" si="4"/>
        <v>-1411368300.4571521</v>
      </c>
      <c r="N21">
        <f t="shared" si="4"/>
        <v>-1283408897.9719024</v>
      </c>
      <c r="O21">
        <f t="shared" si="4"/>
        <v>-1164659094.9985018</v>
      </c>
      <c r="P21">
        <f t="shared" si="4"/>
        <v>-1055755919.9574324</v>
      </c>
      <c r="Q21">
        <f t="shared" si="4"/>
        <v>-957190747.88914692</v>
      </c>
      <c r="R21">
        <f t="shared" si="4"/>
        <v>-869309494.92669106</v>
      </c>
      <c r="S21">
        <f t="shared" si="4"/>
        <v>-792315805.28607416</v>
      </c>
      <c r="T21">
        <f t="shared" si="4"/>
        <v>-726276760.24559009</v>
      </c>
      <c r="U21">
        <f t="shared" si="4"/>
        <v>-671130583.15480101</v>
      </c>
      <c r="V21">
        <f t="shared" si="4"/>
        <v>-626695796.44784915</v>
      </c>
      <c r="W21">
        <f t="shared" si="4"/>
        <v>-592681303.34100235</v>
      </c>
      <c r="X21">
        <f t="shared" si="4"/>
        <v>-568696913.31224966</v>
      </c>
      <c r="Y21">
        <f t="shared" si="4"/>
        <v>-554263899.6882149</v>
      </c>
      <c r="Z21">
        <f t="shared" si="4"/>
        <v>-548825261.69864511</v>
      </c>
      <c r="AA21">
        <f t="shared" si="4"/>
        <v>-551755453.89483654</v>
      </c>
      <c r="AB21">
        <f t="shared" si="4"/>
        <v>-562369435.02028954</v>
      </c>
      <c r="AC21">
        <f t="shared" si="4"/>
        <v>-579930969.55179584</v>
      </c>
      <c r="AD21">
        <f t="shared" si="4"/>
        <v>-603660183.11687434</v>
      </c>
      <c r="AE21">
        <f t="shared" si="4"/>
        <v>-632740424.71048796</v>
      </c>
      <c r="AF21">
        <f t="shared" si="4"/>
        <v>-666324523.00337708</v>
      </c>
      <c r="AG21">
        <f t="shared" si="4"/>
        <v>-703540541.91810071</v>
      </c>
      <c r="AH21">
        <f t="shared" si="4"/>
        <v>-743497144.54607534</v>
      </c>
      <c r="AI21">
        <f t="shared" si="4"/>
        <v>-785288668.07384038</v>
      </c>
    </row>
  </sheetData>
  <conditionalFormatting sqref="F15:AJ15">
    <cfRule type="colorScale" priority="1">
      <colorScale>
        <cfvo type="min"/>
        <cfvo type="max"/>
        <color theme="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User</cp:lastModifiedBy>
  <dcterms:created xsi:type="dcterms:W3CDTF">2021-02-19T09:41:52Z</dcterms:created>
  <dcterms:modified xsi:type="dcterms:W3CDTF">2021-03-18T14:07:47Z</dcterms:modified>
</cp:coreProperties>
</file>