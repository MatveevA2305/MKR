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8" windowWidth="14808" windowHeight="8016"/>
  </bookViews>
  <sheets>
    <sheet name="Лист1" sheetId="1" r:id="rId1"/>
  </sheets>
  <calcPr calcId="152511"/>
</workbook>
</file>

<file path=xl/calcChain.xml><?xml version="1.0" encoding="utf-8"?>
<calcChain xmlns="http://schemas.openxmlformats.org/spreadsheetml/2006/main">
  <c r="Y22" i="1" l="1"/>
  <c r="Y23" i="1" s="1"/>
  <c r="Z23" i="1" s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X24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X13" i="1"/>
  <c r="Z12" i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Y12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AH9" i="1"/>
  <c r="AI9" i="1"/>
  <c r="AJ9" i="1"/>
  <c r="AK9" i="1"/>
  <c r="AL9" i="1"/>
  <c r="AG9" i="1"/>
  <c r="AF9" i="1"/>
  <c r="AE9" i="1"/>
  <c r="AD9" i="1"/>
  <c r="AC9" i="1"/>
  <c r="Y9" i="1"/>
  <c r="Z9" i="1"/>
  <c r="AA9" i="1"/>
  <c r="AB9" i="1"/>
  <c r="X9" i="1"/>
  <c r="P62" i="1"/>
  <c r="Q62" i="1"/>
  <c r="R62" i="1"/>
  <c r="P63" i="1"/>
  <c r="Q63" i="1"/>
  <c r="R63" i="1"/>
  <c r="T63" i="1"/>
  <c r="P64" i="1"/>
  <c r="Q64" i="1"/>
  <c r="R64" i="1"/>
  <c r="S64" i="1"/>
  <c r="T64" i="1"/>
  <c r="P65" i="1"/>
  <c r="Q65" i="1"/>
  <c r="R65" i="1"/>
  <c r="S65" i="1"/>
  <c r="T65" i="1"/>
  <c r="P66" i="1"/>
  <c r="Q66" i="1"/>
  <c r="R66" i="1"/>
  <c r="S66" i="1"/>
  <c r="T66" i="1"/>
  <c r="P67" i="1"/>
  <c r="Q67" i="1"/>
  <c r="R67" i="1"/>
  <c r="S67" i="1"/>
  <c r="T67" i="1"/>
  <c r="O63" i="1"/>
  <c r="O64" i="1"/>
  <c r="O65" i="1"/>
  <c r="O66" i="1"/>
  <c r="O67" i="1"/>
  <c r="N63" i="1"/>
  <c r="N64" i="1"/>
  <c r="N65" i="1"/>
  <c r="N66" i="1"/>
  <c r="M63" i="1"/>
  <c r="M64" i="1"/>
  <c r="M65" i="1"/>
  <c r="L63" i="1"/>
  <c r="L64" i="1"/>
  <c r="K63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T61" i="1"/>
  <c r="F62" i="1"/>
  <c r="G62" i="1"/>
  <c r="H62" i="1"/>
  <c r="I62" i="1"/>
  <c r="J62" i="1"/>
  <c r="K62" i="1"/>
  <c r="L62" i="1"/>
  <c r="M62" i="1"/>
  <c r="N62" i="1"/>
  <c r="O62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F57" i="1"/>
  <c r="O54" i="1"/>
  <c r="P54" i="1"/>
  <c r="Q54" i="1"/>
  <c r="R54" i="1"/>
  <c r="S54" i="1"/>
  <c r="K50" i="1"/>
  <c r="L51" i="1"/>
  <c r="M52" i="1"/>
  <c r="N53" i="1"/>
  <c r="J49" i="1"/>
  <c r="O49" i="1"/>
  <c r="O50" i="1"/>
  <c r="O51" i="1"/>
  <c r="O52" i="1"/>
  <c r="O53" i="1"/>
  <c r="N49" i="1"/>
  <c r="N50" i="1"/>
  <c r="N51" i="1"/>
  <c r="N52" i="1"/>
  <c r="M49" i="1"/>
  <c r="M50" i="1"/>
  <c r="M51" i="1"/>
  <c r="L49" i="1"/>
  <c r="L50" i="1"/>
  <c r="K49" i="1"/>
  <c r="O45" i="1"/>
  <c r="O46" i="1"/>
  <c r="O47" i="1"/>
  <c r="O48" i="1"/>
  <c r="N45" i="1"/>
  <c r="N46" i="1"/>
  <c r="N47" i="1"/>
  <c r="N48" i="1"/>
  <c r="H45" i="1"/>
  <c r="I45" i="1"/>
  <c r="J45" i="1"/>
  <c r="K45" i="1"/>
  <c r="L45" i="1"/>
  <c r="M45" i="1"/>
  <c r="H46" i="1"/>
  <c r="I46" i="1"/>
  <c r="J46" i="1"/>
  <c r="K46" i="1"/>
  <c r="L46" i="1"/>
  <c r="M46" i="1"/>
  <c r="H47" i="1"/>
  <c r="I47" i="1"/>
  <c r="J47" i="1"/>
  <c r="K47" i="1"/>
  <c r="L47" i="1"/>
  <c r="M47" i="1"/>
  <c r="H48" i="1"/>
  <c r="I48" i="1"/>
  <c r="J48" i="1"/>
  <c r="K48" i="1"/>
  <c r="L48" i="1"/>
  <c r="M48" i="1"/>
  <c r="G46" i="1"/>
  <c r="G47" i="1"/>
  <c r="G48" i="1"/>
  <c r="G45" i="1"/>
  <c r="P45" i="1"/>
  <c r="Q45" i="1"/>
  <c r="R45" i="1"/>
  <c r="P46" i="1"/>
  <c r="Q46" i="1"/>
  <c r="R46" i="1"/>
  <c r="P47" i="1"/>
  <c r="Q47" i="1"/>
  <c r="R47" i="1"/>
  <c r="P48" i="1"/>
  <c r="Q48" i="1"/>
  <c r="R48" i="1"/>
  <c r="P49" i="1"/>
  <c r="Q49" i="1"/>
  <c r="R49" i="1"/>
  <c r="P50" i="1"/>
  <c r="Q50" i="1"/>
  <c r="R50" i="1"/>
  <c r="P51" i="1"/>
  <c r="Q51" i="1"/>
  <c r="R51" i="1"/>
  <c r="P52" i="1"/>
  <c r="Q52" i="1"/>
  <c r="R52" i="1"/>
  <c r="P53" i="1"/>
  <c r="Q53" i="1"/>
  <c r="R53" i="1"/>
  <c r="S45" i="1"/>
  <c r="S46" i="1"/>
  <c r="S47" i="1"/>
  <c r="S49" i="1"/>
  <c r="S62" i="1" s="1"/>
  <c r="S50" i="1"/>
  <c r="S51" i="1"/>
  <c r="S52" i="1"/>
  <c r="S53" i="1"/>
  <c r="S48" i="1"/>
  <c r="T45" i="1"/>
  <c r="T46" i="1"/>
  <c r="T47" i="1"/>
  <c r="T48" i="1"/>
  <c r="T49" i="1"/>
  <c r="T62" i="1" s="1"/>
  <c r="T50" i="1"/>
  <c r="T51" i="1"/>
  <c r="T52" i="1"/>
  <c r="T53" i="1"/>
  <c r="T54" i="1"/>
  <c r="T44" i="1"/>
  <c r="F48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G49" i="1"/>
  <c r="H49" i="1"/>
  <c r="I49" i="1"/>
  <c r="F45" i="1"/>
  <c r="F46" i="1"/>
  <c r="F47" i="1"/>
  <c r="F49" i="1"/>
  <c r="F44" i="1"/>
  <c r="T32" i="1"/>
  <c r="T33" i="1"/>
  <c r="T34" i="1"/>
  <c r="T35" i="1"/>
  <c r="T36" i="1"/>
  <c r="T37" i="1"/>
  <c r="T38" i="1"/>
  <c r="T39" i="1"/>
  <c r="T40" i="1"/>
  <c r="T41" i="1"/>
  <c r="T31" i="1"/>
  <c r="F36" i="1"/>
  <c r="F32" i="1"/>
  <c r="F33" i="1"/>
  <c r="F34" i="1"/>
  <c r="F35" i="1"/>
  <c r="F31" i="1"/>
  <c r="AA23" i="1" l="1"/>
  <c r="Z24" i="1"/>
  <c r="Y24" i="1"/>
  <c r="O12" i="1"/>
  <c r="P12" i="1"/>
  <c r="Q12" i="1"/>
  <c r="R12" i="1"/>
  <c r="S12" i="1"/>
  <c r="O13" i="1"/>
  <c r="O40" i="1" s="1"/>
  <c r="P13" i="1"/>
  <c r="P40" i="1" s="1"/>
  <c r="Q13" i="1"/>
  <c r="Q40" i="1" s="1"/>
  <c r="R13" i="1"/>
  <c r="R40" i="1" s="1"/>
  <c r="S13" i="1"/>
  <c r="S40" i="1" s="1"/>
  <c r="O14" i="1"/>
  <c r="O41" i="1" s="1"/>
  <c r="P14" i="1"/>
  <c r="P41" i="1" s="1"/>
  <c r="Q14" i="1"/>
  <c r="Q41" i="1" s="1"/>
  <c r="R14" i="1"/>
  <c r="R41" i="1" s="1"/>
  <c r="S14" i="1"/>
  <c r="S41" i="1" s="1"/>
  <c r="N12" i="1"/>
  <c r="N39" i="1" s="1"/>
  <c r="N13" i="1"/>
  <c r="N40" i="1" s="1"/>
  <c r="M12" i="1"/>
  <c r="M39" i="1" s="1"/>
  <c r="M10" i="1"/>
  <c r="N10" i="1"/>
  <c r="O10" i="1"/>
  <c r="P10" i="1"/>
  <c r="Q10" i="1"/>
  <c r="R10" i="1"/>
  <c r="S10" i="1"/>
  <c r="M11" i="1"/>
  <c r="M38" i="1" s="1"/>
  <c r="N11" i="1"/>
  <c r="O11" i="1"/>
  <c r="P11" i="1"/>
  <c r="Q11" i="1"/>
  <c r="R11" i="1"/>
  <c r="S11" i="1"/>
  <c r="L11" i="1"/>
  <c r="L38" i="1" s="1"/>
  <c r="L9" i="1"/>
  <c r="M9" i="1"/>
  <c r="L10" i="1"/>
  <c r="L37" i="1" s="1"/>
  <c r="K10" i="1"/>
  <c r="K37" i="1" s="1"/>
  <c r="O9" i="1"/>
  <c r="P9" i="1"/>
  <c r="Q9" i="1"/>
  <c r="R9" i="1"/>
  <c r="H6" i="1"/>
  <c r="I6" i="1"/>
  <c r="J6" i="1"/>
  <c r="K6" i="1"/>
  <c r="L6" i="1"/>
  <c r="M6" i="1"/>
  <c r="N6" i="1"/>
  <c r="O6" i="1"/>
  <c r="P6" i="1"/>
  <c r="Q6" i="1"/>
  <c r="R6" i="1"/>
  <c r="S6" i="1"/>
  <c r="H7" i="1"/>
  <c r="I7" i="1"/>
  <c r="J7" i="1"/>
  <c r="K7" i="1"/>
  <c r="L7" i="1"/>
  <c r="M7" i="1"/>
  <c r="N7" i="1"/>
  <c r="O7" i="1"/>
  <c r="P7" i="1"/>
  <c r="Q7" i="1"/>
  <c r="R7" i="1"/>
  <c r="S7" i="1"/>
  <c r="H8" i="1"/>
  <c r="H35" i="1" s="1"/>
  <c r="I8" i="1"/>
  <c r="I35" i="1" s="1"/>
  <c r="J8" i="1"/>
  <c r="J35" i="1" s="1"/>
  <c r="K8" i="1"/>
  <c r="K35" i="1" s="1"/>
  <c r="L8" i="1"/>
  <c r="M8" i="1"/>
  <c r="N8" i="1"/>
  <c r="O8" i="1"/>
  <c r="P8" i="1"/>
  <c r="Q8" i="1"/>
  <c r="R8" i="1"/>
  <c r="S8" i="1"/>
  <c r="H9" i="1"/>
  <c r="H36" i="1" s="1"/>
  <c r="I9" i="1"/>
  <c r="I36" i="1" s="1"/>
  <c r="J9" i="1"/>
  <c r="J36" i="1" s="1"/>
  <c r="K9" i="1"/>
  <c r="K36" i="1" s="1"/>
  <c r="N9" i="1"/>
  <c r="S9" i="1"/>
  <c r="G7" i="1"/>
  <c r="G8" i="1"/>
  <c r="G35" i="1" s="1"/>
  <c r="G9" i="1"/>
  <c r="G36" i="1" s="1"/>
  <c r="G6" i="1"/>
  <c r="B6" i="1"/>
  <c r="T14" i="1" s="1"/>
  <c r="T13" i="1" s="1"/>
  <c r="T12" i="1" s="1"/>
  <c r="T11" i="1" s="1"/>
  <c r="T10" i="1" s="1"/>
  <c r="T9" i="1" s="1"/>
  <c r="T8" i="1" s="1"/>
  <c r="T7" i="1" s="1"/>
  <c r="T6" i="1" s="1"/>
  <c r="H5" i="1"/>
  <c r="I5" i="1"/>
  <c r="J5" i="1"/>
  <c r="K5" i="1"/>
  <c r="L5" i="1"/>
  <c r="M5" i="1"/>
  <c r="N5" i="1"/>
  <c r="O5" i="1"/>
  <c r="P5" i="1"/>
  <c r="Q5" i="1"/>
  <c r="R5" i="1"/>
  <c r="S5" i="1"/>
  <c r="T5" i="1"/>
  <c r="G5" i="1"/>
  <c r="F8" i="1"/>
  <c r="F7" i="1" s="1"/>
  <c r="F6" i="1" s="1"/>
  <c r="F5" i="1" s="1"/>
  <c r="F9" i="1"/>
  <c r="AA24" i="1" l="1"/>
  <c r="AB23" i="1"/>
  <c r="R37" i="1"/>
  <c r="Q37" i="1"/>
  <c r="N35" i="1"/>
  <c r="S38" i="1"/>
  <c r="M35" i="1"/>
  <c r="P37" i="1"/>
  <c r="M36" i="1"/>
  <c r="N36" i="1"/>
  <c r="O35" i="1"/>
  <c r="Q36" i="1"/>
  <c r="G33" i="1"/>
  <c r="P36" i="1"/>
  <c r="M37" i="1"/>
  <c r="O38" i="1"/>
  <c r="S37" i="1"/>
  <c r="S63" i="1" s="1"/>
  <c r="O39" i="1"/>
  <c r="N37" i="1"/>
  <c r="R39" i="1"/>
  <c r="Q35" i="1"/>
  <c r="Q39" i="1"/>
  <c r="R35" i="1"/>
  <c r="P35" i="1"/>
  <c r="R36" i="1"/>
  <c r="K32" i="1"/>
  <c r="K34" i="1"/>
  <c r="R32" i="1"/>
  <c r="R34" i="1"/>
  <c r="Q34" i="1"/>
  <c r="Q32" i="1"/>
  <c r="I32" i="1"/>
  <c r="I34" i="1"/>
  <c r="M33" i="1"/>
  <c r="R38" i="1"/>
  <c r="N33" i="1"/>
  <c r="L35" i="1"/>
  <c r="P32" i="1"/>
  <c r="P34" i="1"/>
  <c r="H32" i="1"/>
  <c r="H34" i="1"/>
  <c r="L33" i="1"/>
  <c r="O36" i="1"/>
  <c r="Q38" i="1"/>
  <c r="J32" i="1"/>
  <c r="J34" i="1"/>
  <c r="S35" i="1"/>
  <c r="S61" i="1" s="1"/>
  <c r="O32" i="1"/>
  <c r="O34" i="1"/>
  <c r="S33" i="1"/>
  <c r="K33" i="1"/>
  <c r="P38" i="1"/>
  <c r="O37" i="1"/>
  <c r="S39" i="1"/>
  <c r="N32" i="1"/>
  <c r="N34" i="1"/>
  <c r="R33" i="1"/>
  <c r="J33" i="1"/>
  <c r="S36" i="1"/>
  <c r="M32" i="1"/>
  <c r="M34" i="1"/>
  <c r="Q33" i="1"/>
  <c r="I33" i="1"/>
  <c r="N38" i="1"/>
  <c r="S32" i="1"/>
  <c r="S34" i="1"/>
  <c r="G34" i="1"/>
  <c r="G32" i="1"/>
  <c r="L32" i="1"/>
  <c r="L34" i="1"/>
  <c r="P33" i="1"/>
  <c r="H33" i="1"/>
  <c r="L36" i="1"/>
  <c r="P39" i="1"/>
  <c r="O33" i="1"/>
  <c r="N31" i="1"/>
  <c r="G31" i="1"/>
  <c r="M31" i="1"/>
  <c r="L31" i="1"/>
  <c r="S31" i="1"/>
  <c r="R31" i="1"/>
  <c r="J31" i="1"/>
  <c r="Q31" i="1"/>
  <c r="I31" i="1"/>
  <c r="P31" i="1"/>
  <c r="H31" i="1"/>
  <c r="K31" i="1"/>
  <c r="O31" i="1"/>
  <c r="AB24" i="1" l="1"/>
  <c r="AC23" i="1"/>
  <c r="AD23" i="1" l="1"/>
  <c r="AC24" i="1"/>
  <c r="AD24" i="1" l="1"/>
  <c r="AE23" i="1"/>
  <c r="AF23" i="1" l="1"/>
  <c r="AE24" i="1"/>
  <c r="AG23" i="1" l="1"/>
  <c r="AF24" i="1"/>
  <c r="AH23" i="1" l="1"/>
  <c r="AG24" i="1"/>
  <c r="AI23" i="1" l="1"/>
  <c r="AH24" i="1"/>
  <c r="AI24" i="1" l="1"/>
  <c r="AJ23" i="1"/>
  <c r="AJ24" i="1" l="1"/>
  <c r="AK23" i="1"/>
  <c r="AL23" i="1" l="1"/>
  <c r="AL24" i="1" s="1"/>
  <c r="AK24" i="1"/>
</calcChain>
</file>

<file path=xl/sharedStrings.xml><?xml version="1.0" encoding="utf-8"?>
<sst xmlns="http://schemas.openxmlformats.org/spreadsheetml/2006/main" count="32" uniqueCount="20">
  <si>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</si>
  <si>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</si>
  <si>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</si>
  <si>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</si>
  <si>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</si>
  <si>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</si>
  <si>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</si>
  <si>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</si>
  <si>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Start_collum</t>
  </si>
  <si>
    <t>ψ</t>
  </si>
  <si>
    <t>U</t>
  </si>
  <si>
    <t>y</t>
  </si>
  <si>
    <t>x</t>
  </si>
  <si>
    <t>V</t>
  </si>
  <si>
    <t>Vel</t>
  </si>
  <si>
    <t>p</t>
  </si>
  <si>
    <t>Cp</t>
  </si>
  <si>
    <t>Нижняя граница</t>
  </si>
  <si>
    <t>Верхняя граница</t>
  </si>
  <si>
    <t xml:space="preserve">  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</si>
</sst>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1" xfId="0" applyFill="1" applyBorder="1"/>
    <xf numFmtId="0" fontId="0" fillId="0" borderId="1" xfId="0" applyBorder="1"/>
    <xf numFmtId="0" fontId="0" fillId="5" borderId="1" xfId="0" applyFill="1" applyBorder="1"/>
    <xf numFmtId="0" fontId="0" fillId="4" borderId="0" xfId="0" applyFill="1"/>
    <xf numFmtId="0" fontId="1" fillId="0" borderId="1" xfId="0" applyFont="1" applyBorder="1"/>
    <xf numFmtId="0" fontId="0" fillId="0" borderId="2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38033683289589"/>
          <c:y val="2.5428331875182269E-2"/>
          <c:w val="0.60377996500437447"/>
          <c:h val="0.89814814814814814"/>
        </c:manualLayout>
      </c:layout>
      <c:scatterChart>
        <c:scatterStyle val="smoothMarker"/>
        <c:varyColors val="0"/>
        <c:ser>
          <c:idx val="0"/>
          <c:order val="0"/>
          <c:tx>
            <c:v>Нижняя граница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Лист1!$X$18:$AL$18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Лист1!$X$13:$AL$13</c:f>
              <c:numCache>
                <c:formatCode>General</c:formatCode>
                <c:ptCount val="15"/>
                <c:pt idx="0">
                  <c:v>0</c:v>
                </c:pt>
                <c:pt idx="1">
                  <c:v>-3.5735807978489902E-2</c:v>
                </c:pt>
                <c:pt idx="2">
                  <c:v>-9.1031048649456353E-2</c:v>
                </c:pt>
                <c:pt idx="3">
                  <c:v>-0.20356551261094866</c:v>
                </c:pt>
                <c:pt idx="4">
                  <c:v>-0.92371434426313503</c:v>
                </c:pt>
                <c:pt idx="5">
                  <c:v>0.30865254918404389</c:v>
                </c:pt>
                <c:pt idx="6">
                  <c:v>0.5897106884940877</c:v>
                </c:pt>
                <c:pt idx="7">
                  <c:v>0.74185185954353072</c:v>
                </c:pt>
                <c:pt idx="8">
                  <c:v>0.85363692518614698</c:v>
                </c:pt>
                <c:pt idx="9">
                  <c:v>0.95233646131266136</c:v>
                </c:pt>
                <c:pt idx="10">
                  <c:v>0.892417485981714</c:v>
                </c:pt>
                <c:pt idx="11">
                  <c:v>0.84549449018290035</c:v>
                </c:pt>
                <c:pt idx="12">
                  <c:v>0.80891819764248796</c:v>
                </c:pt>
                <c:pt idx="13">
                  <c:v>0.77837141869415061</c:v>
                </c:pt>
                <c:pt idx="14">
                  <c:v>0.75</c:v>
                </c:pt>
              </c:numCache>
            </c:numRef>
          </c:yVal>
          <c:smooth val="1"/>
        </c:ser>
        <c:ser>
          <c:idx val="1"/>
          <c:order val="1"/>
          <c:tx>
            <c:v>Верхняя граница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Лист1!$X$18:$AL$18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Лист1!$X$24:$AL$24</c:f>
              <c:numCache>
                <c:formatCode>General</c:formatCode>
                <c:ptCount val="15"/>
                <c:pt idx="0">
                  <c:v>0</c:v>
                </c:pt>
                <c:pt idx="1">
                  <c:v>2.8142651601519901E-2</c:v>
                </c:pt>
                <c:pt idx="2">
                  <c:v>6.3813806141261017E-2</c:v>
                </c:pt>
                <c:pt idx="3">
                  <c:v>0.11458387845719699</c:v>
                </c:pt>
                <c:pt idx="4">
                  <c:v>0.18568430021230597</c:v>
                </c:pt>
                <c:pt idx="5">
                  <c:v>0.27484436014638047</c:v>
                </c:pt>
                <c:pt idx="6">
                  <c:v>0.36819750354043207</c:v>
                </c:pt>
                <c:pt idx="7">
                  <c:v>0.45397958147223105</c:v>
                </c:pt>
                <c:pt idx="8">
                  <c:v>0.5267768625673489</c:v>
                </c:pt>
                <c:pt idx="9">
                  <c:v>0.5859022569574881</c:v>
                </c:pt>
                <c:pt idx="10">
                  <c:v>0.63301526246301365</c:v>
                </c:pt>
                <c:pt idx="11">
                  <c:v>0.67057935884600739</c:v>
                </c:pt>
                <c:pt idx="12">
                  <c:v>0.70111637934547621</c:v>
                </c:pt>
                <c:pt idx="13">
                  <c:v>0.72692277332651434</c:v>
                </c:pt>
                <c:pt idx="14">
                  <c:v>0.75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180128"/>
        <c:axId val="391185024"/>
      </c:scatterChart>
      <c:valAx>
        <c:axId val="391180128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185024"/>
        <c:crosses val="autoZero"/>
        <c:crossBetween val="midCat"/>
      </c:valAx>
      <c:valAx>
        <c:axId val="39118502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18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16944444444445"/>
          <c:y val="0.94039297171186931"/>
          <c:w val="0.5649722222222221"/>
          <c:h val="5.43992417614464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Лист1!$F$31:$T$31</c:f>
              <c:numCache>
                <c:formatCode>General</c:formatCode>
                <c:ptCount val="15"/>
                <c:pt idx="0">
                  <c:v>10</c:v>
                </c:pt>
                <c:pt idx="1">
                  <c:v>9.8582825502135929</c:v>
                </c:pt>
                <c:pt idx="2">
                  <c:v>9.6756715211852651</c:v>
                </c:pt>
                <c:pt idx="3">
                  <c:v>9.4096552622448559</c:v>
                </c:pt>
                <c:pt idx="4">
                  <c:v>9.02394425840364</c:v>
                </c:pt>
                <c:pt idx="5">
                  <c:v>8.5156070826072927</c:v>
                </c:pt>
                <c:pt idx="6">
                  <c:v>7.9486004834785629</c:v>
                </c:pt>
                <c:pt idx="7">
                  <c:v>7.3893194444939159</c:v>
                </c:pt>
                <c:pt idx="8">
                  <c:v>6.8791215822410123</c:v>
                </c:pt>
                <c:pt idx="9">
                  <c:v>6.4350426808404748</c:v>
                </c:pt>
                <c:pt idx="10">
                  <c:v>6.0579265226384571</c:v>
                </c:pt>
                <c:pt idx="11">
                  <c:v>5.7395177598299618</c:v>
                </c:pt>
                <c:pt idx="12">
                  <c:v>5.4670249739190258</c:v>
                </c:pt>
                <c:pt idx="13">
                  <c:v>5.2256791584771278</c:v>
                </c:pt>
                <c:pt idx="14">
                  <c:v>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267936"/>
        <c:axId val="508266848"/>
      </c:scatterChart>
      <c:valAx>
        <c:axId val="50826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8266848"/>
        <c:crosses val="autoZero"/>
        <c:crossBetween val="midCat"/>
      </c:valAx>
      <c:valAx>
        <c:axId val="50826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826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119742</xdr:colOff>
      <xdr:row>25</xdr:row>
      <xdr:rowOff>87085</xdr:rowOff>
    </xdr:from>
    <xdr:to>
      <xdr:col>29</xdr:col>
      <xdr:colOff>500742</xdr:colOff>
      <xdr:row>41</xdr:row>
      <xdr:rowOff>174170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22</xdr:col>
      <xdr:colOff>740227</xdr:colOff>
      <xdr:row>25</xdr:row>
      <xdr:rowOff>141514</xdr:rowOff>
    </xdr:from>
    <xdr:ext cx="337458" cy="29886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12485913" y="4767943"/>
              <a:ext cx="337458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8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800" b="0" i="1">
                            <a:latin typeface="Cambria Math" panose="02040503050406030204" pitchFamily="18" charset="0"/>
                          </a:rPr>
                          <m:t>С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12485913" y="4767943"/>
              <a:ext cx="337458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800" b="0" i="0">
                  <a:latin typeface="Cambria Math" panose="02040503050406030204" pitchFamily="18" charset="0"/>
                </a:rPr>
                <a:t>С_</a:t>
              </a:r>
              <a:r>
                <a:rPr lang="en-US" sz="1800" b="0" i="0">
                  <a:latin typeface="Cambria Math" panose="02040503050406030204" pitchFamily="18" charset="0"/>
                </a:rPr>
                <a:t>𝑝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28</xdr:col>
      <xdr:colOff>533400</xdr:colOff>
      <xdr:row>33</xdr:row>
      <xdr:rowOff>0</xdr:rowOff>
    </xdr:from>
    <xdr:ext cx="423129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6099971" y="6106886"/>
              <a:ext cx="423129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 м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6099971" y="6106886"/>
              <a:ext cx="423129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𝑥,</a:t>
              </a:r>
              <a:r>
                <a:rPr lang="ru-RU" sz="1800" b="0" i="0">
                  <a:latin typeface="Cambria Math" panose="02040503050406030204" pitchFamily="18" charset="0"/>
                </a:rPr>
                <a:t> м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23</xdr:col>
      <xdr:colOff>402772</xdr:colOff>
      <xdr:row>40</xdr:row>
      <xdr:rowOff>54428</xdr:rowOff>
    </xdr:from>
    <xdr:to>
      <xdr:col>31</xdr:col>
      <xdr:colOff>97972</xdr:colOff>
      <xdr:row>55</xdr:row>
      <xdr:rowOff>21771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L68"/>
  <sheetViews>
    <sheetView tabSelected="1" zoomScale="70" zoomScaleNormal="70" workbookViewId="0">
      <selection activeCell="S30" sqref="S30"/>
    </sheetView>
  </sheetViews>
  <sheetFormatPr defaultRowHeight="14.4" x14ac:dyDescent="0.3"/>
  <cols>
    <col min="1" max="1" width="10.77734375" customWidth="1"/>
    <col min="6" max="20" width="7.109375" customWidth="1"/>
    <col min="23" max="23" width="11.21875" customWidth="1"/>
  </cols>
  <sheetData>
    <row r="2" spans="1:38" x14ac:dyDescent="0.3">
      <c r="A2" t="s">
        <v>0</v>
      </c>
      <c r="B2">
        <v>0.2</v>
      </c>
    </row>
    <row r="4" spans="1:38" x14ac:dyDescent="0.3">
      <c r="A4" t="s">
        <v>1</v>
      </c>
      <c r="B4">
        <v>10</v>
      </c>
      <c r="F4">
        <v>1</v>
      </c>
      <c r="G4">
        <v>2</v>
      </c>
      <c r="H4">
        <v>3</v>
      </c>
      <c r="I4">
        <v>4</v>
      </c>
      <c r="J4">
        <v>5</v>
      </c>
      <c r="K4">
        <v>6</v>
      </c>
      <c r="L4">
        <v>7</v>
      </c>
      <c r="M4">
        <v>8</v>
      </c>
      <c r="N4">
        <v>9</v>
      </c>
      <c r="O4">
        <v>10</v>
      </c>
      <c r="P4">
        <v>11</v>
      </c>
      <c r="Q4">
        <v>12</v>
      </c>
      <c r="R4">
        <v>13</v>
      </c>
      <c r="S4">
        <v>14</v>
      </c>
      <c r="T4">
        <v>15</v>
      </c>
      <c r="W4" s="8" t="s">
        <v>17</v>
      </c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x14ac:dyDescent="0.3">
      <c r="A5" t="s">
        <v>2</v>
      </c>
      <c r="B5">
        <v>101325</v>
      </c>
      <c r="E5">
        <v>2</v>
      </c>
      <c r="F5" s="2">
        <f t="shared" ref="F5:F8" si="0">F6+$B$4*$B$2</f>
        <v>10</v>
      </c>
      <c r="G5" s="2">
        <f>$F$5</f>
        <v>10</v>
      </c>
      <c r="H5" s="2">
        <f t="shared" ref="H5:T5" si="1">$F$5</f>
        <v>10</v>
      </c>
      <c r="I5" s="2">
        <f t="shared" si="1"/>
        <v>10</v>
      </c>
      <c r="J5" s="2">
        <f t="shared" si="1"/>
        <v>10</v>
      </c>
      <c r="K5" s="2">
        <f t="shared" si="1"/>
        <v>10</v>
      </c>
      <c r="L5" s="2">
        <f t="shared" si="1"/>
        <v>10</v>
      </c>
      <c r="M5" s="2">
        <f t="shared" si="1"/>
        <v>10</v>
      </c>
      <c r="N5" s="2">
        <f t="shared" si="1"/>
        <v>10</v>
      </c>
      <c r="O5" s="2">
        <f t="shared" si="1"/>
        <v>10</v>
      </c>
      <c r="P5" s="2">
        <f t="shared" si="1"/>
        <v>10</v>
      </c>
      <c r="Q5" s="2">
        <f t="shared" si="1"/>
        <v>10</v>
      </c>
      <c r="R5" s="2">
        <f t="shared" si="1"/>
        <v>10</v>
      </c>
      <c r="S5" s="2">
        <f t="shared" si="1"/>
        <v>10</v>
      </c>
      <c r="T5" s="2">
        <f t="shared" si="1"/>
        <v>10</v>
      </c>
      <c r="U5">
        <v>11</v>
      </c>
      <c r="W5" s="4">
        <v>0</v>
      </c>
      <c r="X5" s="4">
        <v>1</v>
      </c>
      <c r="Y5" s="4">
        <v>2</v>
      </c>
      <c r="Z5" s="4">
        <v>3</v>
      </c>
      <c r="AA5" s="4">
        <v>4</v>
      </c>
      <c r="AB5" s="4">
        <v>5</v>
      </c>
      <c r="AC5" s="4">
        <v>6</v>
      </c>
      <c r="AD5" s="4">
        <v>7</v>
      </c>
      <c r="AE5" s="4">
        <v>8</v>
      </c>
      <c r="AF5" s="4">
        <v>9</v>
      </c>
      <c r="AG5" s="4">
        <v>10</v>
      </c>
      <c r="AH5" s="4">
        <v>11</v>
      </c>
      <c r="AI5" s="4">
        <v>12</v>
      </c>
      <c r="AJ5" s="4">
        <v>13</v>
      </c>
      <c r="AK5" s="4">
        <v>14</v>
      </c>
      <c r="AL5" s="4">
        <v>15</v>
      </c>
    </row>
    <row r="6" spans="1:38" x14ac:dyDescent="0.3">
      <c r="A6" t="s">
        <v>3</v>
      </c>
      <c r="B6">
        <f>((E5-E10)*B4)/(E5-E15)</f>
        <v>5</v>
      </c>
      <c r="E6">
        <v>1.8</v>
      </c>
      <c r="F6" s="2">
        <f t="shared" si="0"/>
        <v>8</v>
      </c>
      <c r="G6" s="6">
        <f>0.25*(F19+G18+H19+G20)</f>
        <v>8.0283434899572814</v>
      </c>
      <c r="H6" s="6">
        <f t="shared" ref="H6:S6" si="2">0.25*(G19+H18+I19+H20)</f>
        <v>8.064865695762947</v>
      </c>
      <c r="I6" s="6">
        <f t="shared" si="2"/>
        <v>8.1180689475510288</v>
      </c>
      <c r="J6" s="6">
        <f t="shared" si="2"/>
        <v>8.195211148319272</v>
      </c>
      <c r="K6" s="6">
        <f t="shared" si="2"/>
        <v>8.2968785834785415</v>
      </c>
      <c r="L6" s="6">
        <f t="shared" si="2"/>
        <v>8.4102799033042874</v>
      </c>
      <c r="M6" s="6">
        <f t="shared" si="2"/>
        <v>8.5221361111012168</v>
      </c>
      <c r="N6" s="6">
        <f t="shared" si="2"/>
        <v>8.6241756835517975</v>
      </c>
      <c r="O6" s="6">
        <f t="shared" si="2"/>
        <v>8.712991463831905</v>
      </c>
      <c r="P6" s="6">
        <f t="shared" si="2"/>
        <v>8.7884146954723086</v>
      </c>
      <c r="Q6" s="6">
        <f t="shared" si="2"/>
        <v>8.8520964480340076</v>
      </c>
      <c r="R6" s="6">
        <f t="shared" si="2"/>
        <v>8.9065950052161948</v>
      </c>
      <c r="S6" s="6">
        <f t="shared" si="2"/>
        <v>8.9548641683045744</v>
      </c>
      <c r="T6" s="2">
        <f t="shared" ref="T6:T13" si="3">T7+$B$6*$B$2</f>
        <v>9</v>
      </c>
      <c r="U6">
        <v>10</v>
      </c>
      <c r="W6" s="7" t="s">
        <v>9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</row>
    <row r="7" spans="1:38" x14ac:dyDescent="0.3">
      <c r="E7">
        <v>1.6</v>
      </c>
      <c r="F7" s="2">
        <f t="shared" si="0"/>
        <v>6</v>
      </c>
      <c r="G7" s="6">
        <f t="shared" ref="G7:S10" si="4">0.25*(F20+G19+H20+G21)</f>
        <v>6.0485085246164711</v>
      </c>
      <c r="H7" s="6">
        <f t="shared" si="4"/>
        <v>6.113050880309908</v>
      </c>
      <c r="I7" s="6">
        <f t="shared" si="4"/>
        <v>6.2121998598633272</v>
      </c>
      <c r="J7" s="6">
        <f t="shared" si="4"/>
        <v>6.3658983721050442</v>
      </c>
      <c r="K7" s="6">
        <f t="shared" si="4"/>
        <v>6.5820251655348843</v>
      </c>
      <c r="L7" s="6">
        <f t="shared" si="4"/>
        <v>6.8221072632043622</v>
      </c>
      <c r="M7" s="6">
        <f t="shared" si="4"/>
        <v>7.0540917773742979</v>
      </c>
      <c r="N7" s="6">
        <f t="shared" si="4"/>
        <v>7.2615782968745615</v>
      </c>
      <c r="O7" s="6">
        <f t="shared" si="4"/>
        <v>7.4393788347464946</v>
      </c>
      <c r="P7" s="6">
        <f t="shared" si="4"/>
        <v>7.5885739369385377</v>
      </c>
      <c r="Q7" s="6">
        <f t="shared" si="4"/>
        <v>7.7133788028341908</v>
      </c>
      <c r="R7" s="6">
        <f t="shared" si="4"/>
        <v>7.81942131007116</v>
      </c>
      <c r="S7" s="6">
        <f t="shared" si="4"/>
        <v>7.9128627100238074</v>
      </c>
      <c r="T7" s="2">
        <f t="shared" si="3"/>
        <v>8</v>
      </c>
      <c r="U7">
        <v>9</v>
      </c>
      <c r="W7" s="4" t="s">
        <v>12</v>
      </c>
      <c r="X7" s="4">
        <v>0</v>
      </c>
      <c r="Y7" s="4">
        <v>0.2</v>
      </c>
      <c r="Z7" s="4">
        <v>0.4</v>
      </c>
      <c r="AA7" s="4">
        <v>0.6</v>
      </c>
      <c r="AB7" s="4">
        <v>0.8</v>
      </c>
      <c r="AC7" s="4">
        <v>1</v>
      </c>
      <c r="AD7" s="4">
        <v>1.2</v>
      </c>
      <c r="AE7" s="4">
        <v>1.4</v>
      </c>
      <c r="AF7" s="4">
        <v>1.6</v>
      </c>
      <c r="AG7" s="4">
        <v>1.8</v>
      </c>
      <c r="AH7" s="4">
        <v>2</v>
      </c>
      <c r="AI7" s="4">
        <v>2.2000000000000002</v>
      </c>
      <c r="AJ7" s="4">
        <v>2.4</v>
      </c>
      <c r="AK7" s="4">
        <v>2.6</v>
      </c>
      <c r="AL7" s="4">
        <v>2.8</v>
      </c>
    </row>
    <row r="8" spans="1:38" x14ac:dyDescent="0.3">
      <c r="E8">
        <v>1.4</v>
      </c>
      <c r="F8" s="2">
        <f t="shared" si="0"/>
        <v>4</v>
      </c>
      <c r="G8" s="6">
        <f t="shared" si="4"/>
        <v>4.0526401428804517</v>
      </c>
      <c r="H8" s="6">
        <f t="shared" si="4"/>
        <v>4.1266303635637698</v>
      </c>
      <c r="I8" s="6">
        <f t="shared" si="4"/>
        <v>4.2517827245483257</v>
      </c>
      <c r="J8" s="6">
        <f t="shared" si="4"/>
        <v>4.4741596537666366</v>
      </c>
      <c r="K8" s="6">
        <f t="shared" si="4"/>
        <v>4.8432196514945369</v>
      </c>
      <c r="L8" s="6">
        <f t="shared" si="4"/>
        <v>5.2420365967603049</v>
      </c>
      <c r="M8" s="6">
        <f t="shared" si="4"/>
        <v>5.6105505960359956</v>
      </c>
      <c r="N8" s="6">
        <f t="shared" si="4"/>
        <v>5.9286729163316645</v>
      </c>
      <c r="O8" s="6">
        <f t="shared" si="4"/>
        <v>6.1943776750427588</v>
      </c>
      <c r="P8" s="6">
        <f t="shared" si="4"/>
        <v>6.4131293704860566</v>
      </c>
      <c r="Q8" s="6">
        <f t="shared" si="4"/>
        <v>6.5934284241688879</v>
      </c>
      <c r="R8" s="6">
        <f t="shared" si="4"/>
        <v>6.7448524405939079</v>
      </c>
      <c r="S8" s="6">
        <f t="shared" si="4"/>
        <v>6.8771672533184915</v>
      </c>
      <c r="T8" s="2">
        <f t="shared" si="3"/>
        <v>7</v>
      </c>
      <c r="U8">
        <v>8</v>
      </c>
      <c r="W8" s="4" t="s">
        <v>11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0.8</v>
      </c>
      <c r="AD8" s="4">
        <v>0.6</v>
      </c>
      <c r="AE8" s="4">
        <v>0.4</v>
      </c>
      <c r="AF8" s="4">
        <v>0.2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</row>
    <row r="9" spans="1:38" x14ac:dyDescent="0.3">
      <c r="E9">
        <v>1.2</v>
      </c>
      <c r="F9" s="2">
        <f>F10+$B$4*$B$2</f>
        <v>2</v>
      </c>
      <c r="G9" s="6">
        <f t="shared" si="4"/>
        <v>2.0354221262219978</v>
      </c>
      <c r="H9" s="6">
        <f t="shared" si="4"/>
        <v>2.0890486338517622</v>
      </c>
      <c r="I9" s="6">
        <f t="shared" si="4"/>
        <v>2.194142668662038</v>
      </c>
      <c r="J9" s="6">
        <f t="shared" si="4"/>
        <v>2.4357403874364447</v>
      </c>
      <c r="K9" s="6">
        <f t="shared" si="4"/>
        <v>3.0746611568236375</v>
      </c>
      <c r="L9" s="6">
        <f t="shared" ref="L9:M9" si="5">0.25*(K22+L21+M22+L23)</f>
        <v>3.6922741636689205</v>
      </c>
      <c r="M9" s="6">
        <f t="shared" si="5"/>
        <v>4.2174079830031932</v>
      </c>
      <c r="N9" s="6">
        <f t="shared" si="4"/>
        <v>4.6481927217422889</v>
      </c>
      <c r="O9" s="6">
        <f t="shared" ref="O9:R14" si="6">0.25*(N22+O21+P22+O23)</f>
        <v>4.996337898488064</v>
      </c>
      <c r="P9" s="6">
        <f t="shared" si="6"/>
        <v>5.2761451402747168</v>
      </c>
      <c r="Q9" s="6">
        <f t="shared" si="6"/>
        <v>5.5023599413733493</v>
      </c>
      <c r="R9" s="6">
        <f t="shared" si="6"/>
        <v>5.6893976196465879</v>
      </c>
      <c r="S9" s="6">
        <f t="shared" si="4"/>
        <v>5.8509565193600723</v>
      </c>
      <c r="T9" s="2">
        <f t="shared" si="3"/>
        <v>6</v>
      </c>
      <c r="U9">
        <v>7</v>
      </c>
      <c r="W9" s="4" t="s">
        <v>10</v>
      </c>
      <c r="X9" s="4">
        <f>F36</f>
        <v>10</v>
      </c>
      <c r="Y9" s="4">
        <f t="shared" ref="Y9:AB9" si="7">G36</f>
        <v>10.177110631109988</v>
      </c>
      <c r="Z9" s="4">
        <f t="shared" si="7"/>
        <v>10.445243169258811</v>
      </c>
      <c r="AA9" s="4">
        <f t="shared" si="7"/>
        <v>10.970713343310189</v>
      </c>
      <c r="AB9" s="4">
        <f t="shared" si="7"/>
        <v>12.178701937182224</v>
      </c>
      <c r="AC9" s="4">
        <f>K37</f>
        <v>6.63706932067997</v>
      </c>
      <c r="AD9" s="4">
        <f>L38</f>
        <v>5.0084016487076566</v>
      </c>
      <c r="AE9" s="4">
        <f>M39</f>
        <v>3.9931027515391171</v>
      </c>
      <c r="AF9" s="4">
        <f>N40</f>
        <v>3.1416495932634789</v>
      </c>
      <c r="AG9" s="4">
        <f>O41</f>
        <v>2.1831980827960966</v>
      </c>
      <c r="AH9" s="4">
        <f t="shared" ref="AH9:AL9" si="8">P41</f>
        <v>3.2799773477628515</v>
      </c>
      <c r="AI9" s="4">
        <f t="shared" si="8"/>
        <v>3.9307188886665783</v>
      </c>
      <c r="AJ9" s="4">
        <f t="shared" si="8"/>
        <v>4.3712904542887632</v>
      </c>
      <c r="AK9" s="4">
        <f t="shared" si="8"/>
        <v>4.7077444844183898</v>
      </c>
      <c r="AL9" s="4">
        <f t="shared" si="8"/>
        <v>5</v>
      </c>
    </row>
    <row r="10" spans="1:38" x14ac:dyDescent="0.3">
      <c r="A10" t="s">
        <v>4</v>
      </c>
      <c r="B10">
        <v>100</v>
      </c>
      <c r="E10">
        <v>1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6">
        <f t="shared" si="4"/>
        <v>1.327413864135994</v>
      </c>
      <c r="L10" s="6">
        <f t="shared" ref="L10:M12" si="9">0.25*(K23+L22+M23+L24)</f>
        <v>2.2349964038536152</v>
      </c>
      <c r="M10" s="6">
        <f t="shared" ref="M10:S10" si="10">0.25*(L23+M22+N23+M24)</f>
        <v>2.9186214859185386</v>
      </c>
      <c r="N10" s="6">
        <f t="shared" si="10"/>
        <v>3.4503607511765391</v>
      </c>
      <c r="O10" s="6">
        <f t="shared" si="10"/>
        <v>3.8666450221172175</v>
      </c>
      <c r="P10" s="6">
        <f t="shared" si="10"/>
        <v>4.1927623871357707</v>
      </c>
      <c r="Q10" s="6">
        <f t="shared" si="10"/>
        <v>4.4504761271091908</v>
      </c>
      <c r="R10" s="6">
        <f t="shared" si="10"/>
        <v>4.6594273405187181</v>
      </c>
      <c r="S10" s="6" t="e">
        <f t="shared" si="10"/>
        <v>#VALUE!</v>
      </c>
      <c r="T10" s="2">
        <f t="shared" si="3"/>
        <v>5</v>
      </c>
      <c r="U10">
        <v>6</v>
      </c>
      <c r="W10" s="4" t="s">
        <v>13</v>
      </c>
      <c r="X10" s="4">
        <f>F49</f>
        <v>0</v>
      </c>
      <c r="Y10" s="4">
        <f>G49</f>
        <v>0</v>
      </c>
      <c r="Z10" s="4">
        <f>H49</f>
        <v>0</v>
      </c>
      <c r="AA10" s="4">
        <f>I49</f>
        <v>0</v>
      </c>
      <c r="AB10" s="4">
        <f>J49</f>
        <v>-6.6370666375734766</v>
      </c>
      <c r="AC10" s="4">
        <f>K50</f>
        <v>-5.0083985378645739</v>
      </c>
      <c r="AD10" s="4">
        <f>L51</f>
        <v>-3.993099557463049</v>
      </c>
      <c r="AE10" s="4">
        <f>M52</f>
        <v>-3.1416467753887098</v>
      </c>
      <c r="AF10" s="4">
        <f>N53</f>
        <v>-2.1831961236971655</v>
      </c>
      <c r="AG10" s="4">
        <f>O54</f>
        <v>0</v>
      </c>
      <c r="AH10" s="4">
        <f>P54</f>
        <v>0</v>
      </c>
      <c r="AI10" s="4">
        <f>Q54</f>
        <v>0</v>
      </c>
      <c r="AJ10" s="4">
        <f>R54</f>
        <v>0</v>
      </c>
      <c r="AK10" s="4">
        <f>S54</f>
        <v>0</v>
      </c>
      <c r="AL10" s="4">
        <f>T54</f>
        <v>0</v>
      </c>
    </row>
    <row r="11" spans="1:38" x14ac:dyDescent="0.3">
      <c r="E11">
        <v>0.8</v>
      </c>
      <c r="K11" s="2">
        <v>0</v>
      </c>
      <c r="L11" s="6">
        <f t="shared" si="9"/>
        <v>1.0016803297415313</v>
      </c>
      <c r="M11" s="6">
        <f t="shared" ref="M11:S12" si="11">0.25*(L24+M23+N24+M25)</f>
        <v>1.7717273546839558</v>
      </c>
      <c r="N11" s="6">
        <f t="shared" si="11"/>
        <v>2.3679917145526255</v>
      </c>
      <c r="O11" s="6">
        <f t="shared" si="11"/>
        <v>2.8271281867207758</v>
      </c>
      <c r="P11" s="6">
        <f t="shared" si="11"/>
        <v>3.1777919823594019</v>
      </c>
      <c r="Q11" s="6">
        <f t="shared" si="11"/>
        <v>3.4473627684615309</v>
      </c>
      <c r="R11" s="6">
        <f t="shared" si="11"/>
        <v>3.6605771324337271</v>
      </c>
      <c r="S11" s="6">
        <f t="shared" si="11"/>
        <v>3.838675862814243</v>
      </c>
      <c r="T11" s="2">
        <f t="shared" si="3"/>
        <v>4</v>
      </c>
      <c r="U11">
        <v>5</v>
      </c>
      <c r="W11" s="4" t="s">
        <v>14</v>
      </c>
      <c r="X11" s="4">
        <f>F62</f>
        <v>10</v>
      </c>
      <c r="Y11" s="4">
        <f>G62</f>
        <v>10.177110631109988</v>
      </c>
      <c r="Z11" s="4">
        <f>H62</f>
        <v>10.445243169258811</v>
      </c>
      <c r="AA11" s="4">
        <f>I62</f>
        <v>10.970713343310189</v>
      </c>
      <c r="AB11" s="4">
        <f>J62</f>
        <v>13.869802969989045</v>
      </c>
      <c r="AC11" s="4">
        <f>K63</f>
        <v>8.3147306078787242</v>
      </c>
      <c r="AD11" s="4">
        <f>L64</f>
        <v>6.4053829823507957</v>
      </c>
      <c r="AE11" s="4">
        <f>M65</f>
        <v>5.0808280866074913</v>
      </c>
      <c r="AF11" s="4">
        <f>N66</f>
        <v>3.8257427359114091</v>
      </c>
      <c r="AG11" s="4">
        <f>O67</f>
        <v>2.1831980827960966</v>
      </c>
      <c r="AH11" s="4">
        <f>P67</f>
        <v>3.2799773477628515</v>
      </c>
      <c r="AI11" s="4">
        <f>Q67</f>
        <v>3.9307188886665783</v>
      </c>
      <c r="AJ11" s="4">
        <f>R67</f>
        <v>4.3712904542887632</v>
      </c>
      <c r="AK11" s="4">
        <f>S67</f>
        <v>4.7077444844183898</v>
      </c>
      <c r="AL11" s="4">
        <f>T67</f>
        <v>5</v>
      </c>
    </row>
    <row r="12" spans="1:38" x14ac:dyDescent="0.3">
      <c r="A12" t="s">
        <v>5</v>
      </c>
      <c r="E12">
        <v>0.6</v>
      </c>
      <c r="L12" s="2">
        <v>0</v>
      </c>
      <c r="M12" s="6">
        <f t="shared" si="11"/>
        <v>0.79862055030782342</v>
      </c>
      <c r="N12" s="6">
        <f t="shared" ref="N12:S12" si="12">0.25*(M25+N24+O25+N26)</f>
        <v>1.422757351391879</v>
      </c>
      <c r="O12" s="6">
        <f t="shared" si="12"/>
        <v>1.8960916879626324</v>
      </c>
      <c r="P12" s="6">
        <f t="shared" si="12"/>
        <v>2.2439226914458303</v>
      </c>
      <c r="Q12" s="6">
        <f t="shared" si="12"/>
        <v>2.5006127902842845</v>
      </c>
      <c r="R12" s="6">
        <f t="shared" si="12"/>
        <v>2.6968479571614141</v>
      </c>
      <c r="S12" s="6">
        <f t="shared" si="12"/>
        <v>2.8568649508159742</v>
      </c>
      <c r="T12" s="2">
        <f t="shared" si="3"/>
        <v>3</v>
      </c>
      <c r="U12">
        <v>4</v>
      </c>
      <c r="W12" s="4" t="s">
        <v>15</v>
      </c>
      <c r="X12" s="4">
        <v>101325</v>
      </c>
      <c r="Y12" s="4">
        <f>(X12+(X11^2)/2)-(Y11^2)/2</f>
        <v>101323.21320960108</v>
      </c>
      <c r="Z12" s="4">
        <f t="shared" ref="Z12:AL12" si="13">(Y12+(Y11^2)/2)-(Z11^2)/2</f>
        <v>101320.44844756753</v>
      </c>
      <c r="AA12" s="4">
        <f t="shared" si="13"/>
        <v>101314.82172436945</v>
      </c>
      <c r="AB12" s="4">
        <f t="shared" si="13"/>
        <v>101278.81428278684</v>
      </c>
      <c r="AC12" s="4">
        <f t="shared" si="13"/>
        <v>101340.4326274592</v>
      </c>
      <c r="AD12" s="4">
        <f t="shared" si="13"/>
        <v>101354.4855344247</v>
      </c>
      <c r="AE12" s="4">
        <f t="shared" si="13"/>
        <v>101362.09259297718</v>
      </c>
      <c r="AF12" s="4">
        <f t="shared" si="13"/>
        <v>101367.68184625931</v>
      </c>
      <c r="AG12" s="4">
        <f t="shared" si="13"/>
        <v>101372.61682306563</v>
      </c>
      <c r="AH12" s="4">
        <f t="shared" si="13"/>
        <v>101369.62087429909</v>
      </c>
      <c r="AI12" s="4">
        <f t="shared" si="13"/>
        <v>101367.27472450915</v>
      </c>
      <c r="AJ12" s="4">
        <f t="shared" si="13"/>
        <v>101365.44590988212</v>
      </c>
      <c r="AK12" s="4">
        <f t="shared" si="13"/>
        <v>101363.91857093471</v>
      </c>
      <c r="AL12" s="4">
        <f t="shared" si="13"/>
        <v>101362.5</v>
      </c>
    </row>
    <row r="13" spans="1:38" x14ac:dyDescent="0.3">
      <c r="A13" t="s">
        <v>6</v>
      </c>
      <c r="E13">
        <v>0.4</v>
      </c>
      <c r="M13" s="2">
        <v>0</v>
      </c>
      <c r="N13" s="6">
        <f t="shared" ref="N13:S13" si="14">0.25*(M26+N25+O26+N27)</f>
        <v>0.62832991865269583</v>
      </c>
      <c r="O13" s="6">
        <f t="shared" si="14"/>
        <v>1.0905645330408487</v>
      </c>
      <c r="P13" s="6">
        <f t="shared" si="14"/>
        <v>1.4012004957077215</v>
      </c>
      <c r="Q13" s="6">
        <f t="shared" si="14"/>
        <v>1.6143235956733686</v>
      </c>
      <c r="R13" s="6">
        <f t="shared" si="14"/>
        <v>1.7693412242775226</v>
      </c>
      <c r="S13" s="6">
        <f t="shared" si="14"/>
        <v>1.8919383628096114</v>
      </c>
      <c r="T13" s="2">
        <f t="shared" si="3"/>
        <v>2</v>
      </c>
      <c r="U13">
        <v>3</v>
      </c>
      <c r="W13" s="4" t="s">
        <v>16</v>
      </c>
      <c r="X13" s="4">
        <f>(X12-$B$5)/(($B$4^2)/2)</f>
        <v>0</v>
      </c>
      <c r="Y13" s="4">
        <f t="shared" ref="Y13:AL13" si="15">(Y12-$B$5)/(($B$4^2)/2)</f>
        <v>-3.5735807978489902E-2</v>
      </c>
      <c r="Z13" s="4">
        <f t="shared" si="15"/>
        <v>-9.1031048649456353E-2</v>
      </c>
      <c r="AA13" s="4">
        <f t="shared" si="15"/>
        <v>-0.20356551261094866</v>
      </c>
      <c r="AB13" s="4">
        <f t="shared" si="15"/>
        <v>-0.92371434426313503</v>
      </c>
      <c r="AC13" s="4">
        <f t="shared" si="15"/>
        <v>0.30865254918404389</v>
      </c>
      <c r="AD13" s="4">
        <f t="shared" si="15"/>
        <v>0.5897106884940877</v>
      </c>
      <c r="AE13" s="4">
        <f t="shared" si="15"/>
        <v>0.74185185954353072</v>
      </c>
      <c r="AF13" s="4">
        <f t="shared" si="15"/>
        <v>0.85363692518614698</v>
      </c>
      <c r="AG13" s="4">
        <f t="shared" si="15"/>
        <v>0.95233646131266136</v>
      </c>
      <c r="AH13" s="4">
        <f t="shared" si="15"/>
        <v>0.892417485981714</v>
      </c>
      <c r="AI13" s="4">
        <f t="shared" si="15"/>
        <v>0.84549449018290035</v>
      </c>
      <c r="AJ13" s="4">
        <f t="shared" si="15"/>
        <v>0.80891819764248796</v>
      </c>
      <c r="AK13" s="4">
        <f t="shared" si="15"/>
        <v>0.77837141869415061</v>
      </c>
      <c r="AL13" s="4">
        <f t="shared" si="15"/>
        <v>0.75</v>
      </c>
    </row>
    <row r="14" spans="1:38" x14ac:dyDescent="0.3">
      <c r="A14" t="s">
        <v>7</v>
      </c>
      <c r="E14">
        <v>0.2</v>
      </c>
      <c r="N14" s="2">
        <v>0</v>
      </c>
      <c r="O14" s="6">
        <f t="shared" ref="O14:S14" si="16">0.25*(N27+O26+P27+O28)</f>
        <v>0.43663961655921935</v>
      </c>
      <c r="P14" s="6">
        <f t="shared" si="16"/>
        <v>0.65599546955257038</v>
      </c>
      <c r="Q14" s="6">
        <f t="shared" si="16"/>
        <v>0.78614377773331567</v>
      </c>
      <c r="R14" s="6">
        <f t="shared" si="16"/>
        <v>0.87425809085775263</v>
      </c>
      <c r="S14" s="6">
        <f t="shared" si="16"/>
        <v>0.94154889688367804</v>
      </c>
      <c r="T14" s="2">
        <f>T15+$B$6*$B$2</f>
        <v>1</v>
      </c>
      <c r="U14">
        <v>2</v>
      </c>
    </row>
    <row r="15" spans="1:38" x14ac:dyDescent="0.3">
      <c r="A15" t="s">
        <v>8</v>
      </c>
      <c r="E15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>
        <v>1</v>
      </c>
      <c r="W15" s="8" t="s">
        <v>18</v>
      </c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</row>
    <row r="16" spans="1:38" x14ac:dyDescent="0.3">
      <c r="A16" s="1" t="s">
        <v>9</v>
      </c>
      <c r="B16">
        <v>0</v>
      </c>
      <c r="F16">
        <v>0</v>
      </c>
      <c r="G16">
        <v>0.2</v>
      </c>
      <c r="H16">
        <v>0.4</v>
      </c>
      <c r="I16">
        <v>0.6</v>
      </c>
      <c r="J16">
        <v>0.8</v>
      </c>
      <c r="K16">
        <v>1</v>
      </c>
      <c r="L16">
        <v>1.2</v>
      </c>
      <c r="M16">
        <v>1.4</v>
      </c>
      <c r="N16">
        <v>1.6</v>
      </c>
      <c r="O16">
        <v>1.8</v>
      </c>
      <c r="P16">
        <v>2</v>
      </c>
      <c r="Q16">
        <v>2.2000000000000002</v>
      </c>
      <c r="R16">
        <v>2.4</v>
      </c>
      <c r="S16">
        <v>2.6</v>
      </c>
      <c r="T16">
        <v>2.8</v>
      </c>
      <c r="W16" s="4">
        <v>0</v>
      </c>
      <c r="X16" s="4">
        <v>1</v>
      </c>
      <c r="Y16" s="4">
        <v>2</v>
      </c>
      <c r="Z16" s="4">
        <v>3</v>
      </c>
      <c r="AA16" s="4">
        <v>4</v>
      </c>
      <c r="AB16" s="4">
        <v>5</v>
      </c>
      <c r="AC16" s="4">
        <v>6</v>
      </c>
      <c r="AD16" s="4">
        <v>7</v>
      </c>
      <c r="AE16" s="4">
        <v>8</v>
      </c>
      <c r="AF16" s="4">
        <v>9</v>
      </c>
      <c r="AG16" s="4">
        <v>10</v>
      </c>
      <c r="AH16" s="4">
        <v>11</v>
      </c>
      <c r="AI16" s="4">
        <v>12</v>
      </c>
      <c r="AJ16" s="4">
        <v>13</v>
      </c>
      <c r="AK16" s="4">
        <v>14</v>
      </c>
      <c r="AL16" s="4">
        <v>15</v>
      </c>
    </row>
    <row r="17" spans="4:38" x14ac:dyDescent="0.3">
      <c r="W17" s="7" t="s">
        <v>9</v>
      </c>
      <c r="X17" s="4">
        <v>10</v>
      </c>
      <c r="Y17" s="4">
        <v>10</v>
      </c>
      <c r="Z17" s="4">
        <v>10</v>
      </c>
      <c r="AA17" s="4">
        <v>10</v>
      </c>
      <c r="AB17" s="4">
        <v>10</v>
      </c>
      <c r="AC17" s="4">
        <v>10</v>
      </c>
      <c r="AD17" s="4">
        <v>10</v>
      </c>
      <c r="AE17" s="4">
        <v>10</v>
      </c>
      <c r="AF17" s="4">
        <v>10</v>
      </c>
      <c r="AG17" s="4">
        <v>10</v>
      </c>
      <c r="AH17" s="4">
        <v>10</v>
      </c>
      <c r="AI17" s="4">
        <v>10</v>
      </c>
      <c r="AJ17" s="4">
        <v>10</v>
      </c>
      <c r="AK17" s="4">
        <v>10</v>
      </c>
      <c r="AL17" s="4">
        <v>10</v>
      </c>
    </row>
    <row r="18" spans="4:38" x14ac:dyDescent="0.3">
      <c r="E18">
        <v>2</v>
      </c>
      <c r="F18" s="5">
        <v>10</v>
      </c>
      <c r="G18" s="5">
        <v>10</v>
      </c>
      <c r="H18" s="5">
        <v>10</v>
      </c>
      <c r="I18" s="5">
        <v>10</v>
      </c>
      <c r="J18" s="5">
        <v>10</v>
      </c>
      <c r="K18" s="5">
        <v>10</v>
      </c>
      <c r="L18" s="5">
        <v>10</v>
      </c>
      <c r="M18" s="5">
        <v>10</v>
      </c>
      <c r="N18" s="5">
        <v>10</v>
      </c>
      <c r="O18" s="5">
        <v>10</v>
      </c>
      <c r="P18" s="5">
        <v>10</v>
      </c>
      <c r="Q18" s="5">
        <v>10</v>
      </c>
      <c r="R18" s="5">
        <v>10</v>
      </c>
      <c r="S18" s="5">
        <v>10</v>
      </c>
      <c r="T18" s="5">
        <v>10</v>
      </c>
      <c r="W18" s="4" t="s">
        <v>12</v>
      </c>
      <c r="X18" s="4">
        <v>0</v>
      </c>
      <c r="Y18" s="4">
        <v>0.2</v>
      </c>
      <c r="Z18" s="4">
        <v>0.4</v>
      </c>
      <c r="AA18" s="4">
        <v>0.6</v>
      </c>
      <c r="AB18" s="4">
        <v>0.8</v>
      </c>
      <c r="AC18" s="4">
        <v>1</v>
      </c>
      <c r="AD18" s="4">
        <v>1.2</v>
      </c>
      <c r="AE18" s="4">
        <v>1.4</v>
      </c>
      <c r="AF18" s="4">
        <v>1.6</v>
      </c>
      <c r="AG18" s="4">
        <v>1.8</v>
      </c>
      <c r="AH18" s="4">
        <v>2</v>
      </c>
      <c r="AI18" s="4">
        <v>2.2000000000000002</v>
      </c>
      <c r="AJ18" s="4">
        <v>2.4</v>
      </c>
      <c r="AK18" s="4">
        <v>2.6</v>
      </c>
      <c r="AL18" s="4">
        <v>2.8</v>
      </c>
    </row>
    <row r="19" spans="4:38" x14ac:dyDescent="0.3">
      <c r="E19">
        <v>1.8</v>
      </c>
      <c r="F19" s="5">
        <v>8</v>
      </c>
      <c r="G19" s="4">
        <v>8.0283434235085611</v>
      </c>
      <c r="H19" s="4">
        <v>8.0648655490108183</v>
      </c>
      <c r="I19" s="4">
        <v>8.1180687145175767</v>
      </c>
      <c r="J19" s="4">
        <v>8.1952107888645607</v>
      </c>
      <c r="K19" s="4">
        <v>8.2968781031908634</v>
      </c>
      <c r="L19" s="4">
        <v>8.4102792599019711</v>
      </c>
      <c r="M19" s="4">
        <v>8.5221353664523267</v>
      </c>
      <c r="N19" s="4">
        <v>8.6241748225233366</v>
      </c>
      <c r="O19" s="4">
        <v>8.7129906073217551</v>
      </c>
      <c r="P19" s="4">
        <v>8.7884138538416554</v>
      </c>
      <c r="Q19" s="4">
        <v>8.8520957565439904</v>
      </c>
      <c r="R19" s="4">
        <v>8.9065944822917853</v>
      </c>
      <c r="S19" s="4">
        <v>8.9548639025558519</v>
      </c>
      <c r="T19" s="5">
        <v>9</v>
      </c>
      <c r="W19" s="4" t="s">
        <v>11</v>
      </c>
      <c r="X19" s="4">
        <v>2</v>
      </c>
      <c r="Y19" s="4">
        <v>2</v>
      </c>
      <c r="Z19" s="4">
        <v>2</v>
      </c>
      <c r="AA19" s="4">
        <v>2</v>
      </c>
      <c r="AB19" s="4">
        <v>2</v>
      </c>
      <c r="AC19" s="4">
        <v>2</v>
      </c>
      <c r="AD19" s="4">
        <v>2</v>
      </c>
      <c r="AE19" s="4">
        <v>2</v>
      </c>
      <c r="AF19" s="4">
        <v>2</v>
      </c>
      <c r="AG19" s="4">
        <v>2</v>
      </c>
      <c r="AH19" s="4">
        <v>2</v>
      </c>
      <c r="AI19" s="4">
        <v>2</v>
      </c>
      <c r="AJ19" s="4">
        <v>2</v>
      </c>
      <c r="AK19" s="4">
        <v>2</v>
      </c>
      <c r="AL19" s="4">
        <v>2</v>
      </c>
    </row>
    <row r="20" spans="4:38" x14ac:dyDescent="0.3">
      <c r="E20">
        <v>1.6</v>
      </c>
      <c r="F20" s="5">
        <v>6</v>
      </c>
      <c r="G20" s="4">
        <v>6.0485084108183091</v>
      </c>
      <c r="H20" s="4">
        <v>6.1130506450256501</v>
      </c>
      <c r="I20" s="4">
        <v>6.2121994523287345</v>
      </c>
      <c r="J20" s="4">
        <v>6.3658977755686461</v>
      </c>
      <c r="K20" s="4">
        <v>6.5820242851476349</v>
      </c>
      <c r="L20" s="4">
        <v>6.8221061435739596</v>
      </c>
      <c r="M20" s="4">
        <v>7.0540903619795596</v>
      </c>
      <c r="N20" s="4">
        <v>7.2615767604331047</v>
      </c>
      <c r="O20" s="4">
        <v>7.4393771789626326</v>
      </c>
      <c r="P20" s="4">
        <v>7.5885724180234853</v>
      </c>
      <c r="Q20" s="4">
        <v>7.7133774560025872</v>
      </c>
      <c r="R20" s="4">
        <v>7.8194203617649407</v>
      </c>
      <c r="S20" s="4">
        <v>7.9128621909265116</v>
      </c>
      <c r="T20" s="5">
        <v>8</v>
      </c>
      <c r="W20" s="4" t="s">
        <v>10</v>
      </c>
      <c r="X20" s="4">
        <f>F31</f>
        <v>10</v>
      </c>
      <c r="Y20" s="4">
        <f t="shared" ref="Y20:AL20" si="17">G31</f>
        <v>9.8582825502135929</v>
      </c>
      <c r="Z20" s="4">
        <f t="shared" si="17"/>
        <v>9.6756715211852651</v>
      </c>
      <c r="AA20" s="4">
        <f t="shared" si="17"/>
        <v>9.4096552622448559</v>
      </c>
      <c r="AB20" s="4">
        <f t="shared" si="17"/>
        <v>9.02394425840364</v>
      </c>
      <c r="AC20" s="4">
        <f t="shared" si="17"/>
        <v>8.5156070826072927</v>
      </c>
      <c r="AD20" s="4">
        <f t="shared" si="17"/>
        <v>7.9486004834785629</v>
      </c>
      <c r="AE20" s="4">
        <f t="shared" si="17"/>
        <v>7.3893194444939159</v>
      </c>
      <c r="AF20" s="4">
        <f t="shared" si="17"/>
        <v>6.8791215822410123</v>
      </c>
      <c r="AG20" s="4">
        <f t="shared" si="17"/>
        <v>6.4350426808404748</v>
      </c>
      <c r="AH20" s="4">
        <f t="shared" si="17"/>
        <v>6.0579265226384571</v>
      </c>
      <c r="AI20" s="4">
        <f t="shared" si="17"/>
        <v>5.7395177598299618</v>
      </c>
      <c r="AJ20" s="4">
        <f t="shared" si="17"/>
        <v>5.4670249739190258</v>
      </c>
      <c r="AK20" s="4">
        <f t="shared" si="17"/>
        <v>5.2256791584771278</v>
      </c>
      <c r="AL20" s="4">
        <f t="shared" si="17"/>
        <v>5</v>
      </c>
    </row>
    <row r="21" spans="4:38" x14ac:dyDescent="0.3">
      <c r="E21">
        <v>1.4</v>
      </c>
      <c r="F21" s="5">
        <v>4</v>
      </c>
      <c r="G21" s="4">
        <v>4.0526400299316716</v>
      </c>
      <c r="H21" s="4">
        <v>4.126630109081769</v>
      </c>
      <c r="I21" s="4">
        <v>4.2517823043414369</v>
      </c>
      <c r="J21" s="4">
        <v>4.4741589620792483</v>
      </c>
      <c r="K21" s="4">
        <v>4.843218639806067</v>
      </c>
      <c r="L21" s="4">
        <v>5.2420351457882877</v>
      </c>
      <c r="M21" s="4">
        <v>5.6105488390378024</v>
      </c>
      <c r="N21" s="4">
        <v>5.9286708240327188</v>
      </c>
      <c r="O21" s="4">
        <v>6.1943755532076326</v>
      </c>
      <c r="P21" s="4">
        <v>6.413127258947279</v>
      </c>
      <c r="Q21" s="4">
        <v>6.593426675004344</v>
      </c>
      <c r="R21" s="4">
        <v>6.7448511110637543</v>
      </c>
      <c r="S21" s="4">
        <v>6.8771665757744405</v>
      </c>
      <c r="T21" s="5">
        <v>7</v>
      </c>
      <c r="W21" s="4" t="s">
        <v>13</v>
      </c>
      <c r="X21" s="4">
        <f>F44</f>
        <v>0</v>
      </c>
      <c r="Y21" s="4">
        <f t="shared" ref="Y21:AL21" si="18">G44</f>
        <v>0</v>
      </c>
      <c r="Z21" s="4">
        <f t="shared" si="18"/>
        <v>0</v>
      </c>
      <c r="AA21" s="4">
        <f t="shared" si="18"/>
        <v>0</v>
      </c>
      <c r="AB21" s="4">
        <f t="shared" si="18"/>
        <v>0</v>
      </c>
      <c r="AC21" s="4">
        <f t="shared" si="18"/>
        <v>0</v>
      </c>
      <c r="AD21" s="4">
        <f t="shared" si="18"/>
        <v>0</v>
      </c>
      <c r="AE21" s="4">
        <f t="shared" si="18"/>
        <v>0</v>
      </c>
      <c r="AF21" s="4">
        <f t="shared" si="18"/>
        <v>0</v>
      </c>
      <c r="AG21" s="4">
        <f t="shared" si="18"/>
        <v>0</v>
      </c>
      <c r="AH21" s="4">
        <f t="shared" si="18"/>
        <v>0</v>
      </c>
      <c r="AI21" s="4">
        <f t="shared" si="18"/>
        <v>0</v>
      </c>
      <c r="AJ21" s="4">
        <f t="shared" si="18"/>
        <v>0</v>
      </c>
      <c r="AK21" s="4">
        <f t="shared" si="18"/>
        <v>0</v>
      </c>
      <c r="AL21" s="4">
        <f t="shared" si="18"/>
        <v>0</v>
      </c>
    </row>
    <row r="22" spans="4:38" x14ac:dyDescent="0.3">
      <c r="E22">
        <v>1.2</v>
      </c>
      <c r="F22" s="5">
        <v>2</v>
      </c>
      <c r="G22" s="4">
        <v>2.0354220516217287</v>
      </c>
      <c r="H22" s="4">
        <v>2.0890484749563201</v>
      </c>
      <c r="I22" s="4">
        <v>2.194142374703552</v>
      </c>
      <c r="J22" s="4">
        <v>2.435739895350395</v>
      </c>
      <c r="K22" s="4">
        <v>3.0746602129629794</v>
      </c>
      <c r="L22" s="4">
        <v>3.692272764623393</v>
      </c>
      <c r="M22" s="4">
        <v>4.2174060523434163</v>
      </c>
      <c r="N22" s="4">
        <v>4.6481905126481182</v>
      </c>
      <c r="O22" s="4">
        <v>4.9963354382284066</v>
      </c>
      <c r="P22" s="4">
        <v>5.2761428357087654</v>
      </c>
      <c r="Q22" s="4">
        <v>5.5023578706619318</v>
      </c>
      <c r="R22" s="4">
        <v>5.689396149831909</v>
      </c>
      <c r="S22" s="4">
        <v>5.8509557112836976</v>
      </c>
      <c r="T22" s="5">
        <v>6</v>
      </c>
      <c r="W22" s="4" t="s">
        <v>14</v>
      </c>
      <c r="X22" s="4">
        <f>F57</f>
        <v>10</v>
      </c>
      <c r="Y22" s="4">
        <f t="shared" ref="Y22:AL22" si="19">G57</f>
        <v>9.8582825502135929</v>
      </c>
      <c r="Z22" s="4">
        <f t="shared" si="19"/>
        <v>9.6756715211852651</v>
      </c>
      <c r="AA22" s="4">
        <f t="shared" si="19"/>
        <v>9.4096552622448559</v>
      </c>
      <c r="AB22" s="4">
        <f t="shared" si="19"/>
        <v>9.02394425840364</v>
      </c>
      <c r="AC22" s="4">
        <f t="shared" si="19"/>
        <v>8.5156070826072927</v>
      </c>
      <c r="AD22" s="4">
        <f t="shared" si="19"/>
        <v>7.9486004834785629</v>
      </c>
      <c r="AE22" s="4">
        <f t="shared" si="19"/>
        <v>7.3893194444939159</v>
      </c>
      <c r="AF22" s="4">
        <f t="shared" si="19"/>
        <v>6.8791215822410123</v>
      </c>
      <c r="AG22" s="4">
        <f t="shared" si="19"/>
        <v>6.4350426808404748</v>
      </c>
      <c r="AH22" s="4">
        <f t="shared" si="19"/>
        <v>6.0579265226384571</v>
      </c>
      <c r="AI22" s="4">
        <f t="shared" si="19"/>
        <v>5.7395177598299618</v>
      </c>
      <c r="AJ22" s="4">
        <f t="shared" si="19"/>
        <v>5.4670249739190258</v>
      </c>
      <c r="AK22" s="4">
        <f t="shared" si="19"/>
        <v>5.2256791584771278</v>
      </c>
      <c r="AL22" s="4">
        <f t="shared" si="19"/>
        <v>5</v>
      </c>
    </row>
    <row r="23" spans="4:38" x14ac:dyDescent="0.3">
      <c r="E23">
        <v>1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4">
        <v>1.3274133275146953</v>
      </c>
      <c r="L23" s="4">
        <v>2.2349952435809968</v>
      </c>
      <c r="M23" s="4">
        <v>2.9186198157034582</v>
      </c>
      <c r="N23" s="4">
        <v>3.4503585723646131</v>
      </c>
      <c r="O23" s="4">
        <v>3.8666426923877393</v>
      </c>
      <c r="P23" s="4">
        <v>4.1927599932612507</v>
      </c>
      <c r="Q23" s="4">
        <v>4.4504741049483769</v>
      </c>
      <c r="R23" s="4">
        <v>4.6594257855769676</v>
      </c>
      <c r="S23" s="4">
        <v>4.8372633518339407</v>
      </c>
      <c r="T23" s="5" t="s">
        <v>19</v>
      </c>
      <c r="W23" s="4" t="s">
        <v>15</v>
      </c>
      <c r="X23" s="4">
        <v>101325</v>
      </c>
      <c r="Y23" s="4">
        <f>(X23+(X22^2)/2)-(Y22^2)/2</f>
        <v>101326.40713258008</v>
      </c>
      <c r="Z23" s="4">
        <f t="shared" ref="Z23" si="20">(Y23+(Y22^2)/2)-(Z22^2)/2</f>
        <v>101328.19069030706</v>
      </c>
      <c r="AA23" s="4">
        <f t="shared" ref="AA23" si="21">(Z23+(Z22^2)/2)-(AA22^2)/2</f>
        <v>101330.72919392286</v>
      </c>
      <c r="AB23" s="4">
        <f t="shared" ref="AB23" si="22">(AA23+(AA22^2)/2)-(AB22^2)/2</f>
        <v>101334.28421501062</v>
      </c>
      <c r="AC23" s="4">
        <f t="shared" ref="AC23" si="23">(AB23+(AB22^2)/2)-(AC22^2)/2</f>
        <v>101338.74221800732</v>
      </c>
      <c r="AD23" s="4">
        <f t="shared" ref="AD23" si="24">(AC23+(AC22^2)/2)-(AD22^2)/2</f>
        <v>101343.40987517702</v>
      </c>
      <c r="AE23" s="4">
        <f t="shared" ref="AE23" si="25">(AD23+(AD22^2)/2)-(AE22^2)/2</f>
        <v>101347.69897907361</v>
      </c>
      <c r="AF23" s="4">
        <f t="shared" ref="AF23" si="26">(AE23+(AE22^2)/2)-(AF22^2)/2</f>
        <v>101351.33884312837</v>
      </c>
      <c r="AG23" s="4">
        <f t="shared" ref="AG23" si="27">(AF23+(AF22^2)/2)-(AG22^2)/2</f>
        <v>101354.29511284787</v>
      </c>
      <c r="AH23" s="4">
        <f t="shared" ref="AH23" si="28">(AG23+(AG22^2)/2)-(AH22^2)/2</f>
        <v>101356.65076312315</v>
      </c>
      <c r="AI23" s="4">
        <f t="shared" ref="AI23" si="29">(AH23+(AH22^2)/2)-(AI22^2)/2</f>
        <v>101358.5289679423</v>
      </c>
      <c r="AJ23" s="4">
        <f t="shared" ref="AJ23" si="30">(AI23+(AI22^2)/2)-(AJ22^2)/2</f>
        <v>101360.05581896727</v>
      </c>
      <c r="AK23" s="4">
        <f t="shared" ref="AK23" si="31">(AJ23+(AJ22^2)/2)-(AK22^2)/2</f>
        <v>101361.34613866633</v>
      </c>
      <c r="AL23" s="4">
        <f t="shared" ref="AL23" si="32">(AK23+(AK22^2)/2)-(AL22^2)/2</f>
        <v>101362.5</v>
      </c>
    </row>
    <row r="24" spans="4:38" x14ac:dyDescent="0.3">
      <c r="E24">
        <v>0.8</v>
      </c>
      <c r="F24" s="4"/>
      <c r="G24" s="3"/>
      <c r="H24" s="3"/>
      <c r="I24" s="3"/>
      <c r="J24" s="3"/>
      <c r="K24" s="5">
        <v>0</v>
      </c>
      <c r="L24" s="4">
        <v>1.0016797075729149</v>
      </c>
      <c r="M24" s="4">
        <v>1.7717260753851281</v>
      </c>
      <c r="N24" s="4">
        <v>2.3679899839668401</v>
      </c>
      <c r="O24" s="4">
        <v>2.8271260846145969</v>
      </c>
      <c r="P24" s="4">
        <v>3.1777899154982006</v>
      </c>
      <c r="Q24" s="4">
        <v>3.4473608589366109</v>
      </c>
      <c r="R24" s="4">
        <v>3.6605757554606444</v>
      </c>
      <c r="S24" s="4">
        <v>3.8386750996148082</v>
      </c>
      <c r="T24" s="5">
        <v>4</v>
      </c>
      <c r="W24" s="4" t="s">
        <v>16</v>
      </c>
      <c r="X24" s="4">
        <f>(X23-$B$5)/(($B$4^2)/2)</f>
        <v>0</v>
      </c>
      <c r="Y24" s="4">
        <f t="shared" ref="Y24" si="33">(Y23-$B$5)/(($B$4^2)/2)</f>
        <v>2.8142651601519901E-2</v>
      </c>
      <c r="Z24" s="4">
        <f t="shared" ref="Z24" si="34">(Z23-$B$5)/(($B$4^2)/2)</f>
        <v>6.3813806141261017E-2</v>
      </c>
      <c r="AA24" s="4">
        <f t="shared" ref="AA24" si="35">(AA23-$B$5)/(($B$4^2)/2)</f>
        <v>0.11458387845719699</v>
      </c>
      <c r="AB24" s="4">
        <f t="shared" ref="AB24" si="36">(AB23-$B$5)/(($B$4^2)/2)</f>
        <v>0.18568430021230597</v>
      </c>
      <c r="AC24" s="4">
        <f t="shared" ref="AC24" si="37">(AC23-$B$5)/(($B$4^2)/2)</f>
        <v>0.27484436014638047</v>
      </c>
      <c r="AD24" s="4">
        <f t="shared" ref="AD24" si="38">(AD23-$B$5)/(($B$4^2)/2)</f>
        <v>0.36819750354043207</v>
      </c>
      <c r="AE24" s="4">
        <f t="shared" ref="AE24" si="39">(AE23-$B$5)/(($B$4^2)/2)</f>
        <v>0.45397958147223105</v>
      </c>
      <c r="AF24" s="4">
        <f t="shared" ref="AF24" si="40">(AF23-$B$5)/(($B$4^2)/2)</f>
        <v>0.5267768625673489</v>
      </c>
      <c r="AG24" s="4">
        <f t="shared" ref="AG24" si="41">(AG23-$B$5)/(($B$4^2)/2)</f>
        <v>0.5859022569574881</v>
      </c>
      <c r="AH24" s="4">
        <f t="shared" ref="AH24" si="42">(AH23-$B$5)/(($B$4^2)/2)</f>
        <v>0.63301526246301365</v>
      </c>
      <c r="AI24" s="4">
        <f t="shared" ref="AI24" si="43">(AI23-$B$5)/(($B$4^2)/2)</f>
        <v>0.67057935884600739</v>
      </c>
      <c r="AJ24" s="4">
        <f t="shared" ref="AJ24" si="44">(AJ23-$B$5)/(($B$4^2)/2)</f>
        <v>0.70111637934547621</v>
      </c>
      <c r="AK24" s="4">
        <f t="shared" ref="AK24" si="45">(AK23-$B$5)/(($B$4^2)/2)</f>
        <v>0.72692277332651434</v>
      </c>
      <c r="AL24" s="4">
        <f t="shared" ref="AL24" si="46">(AL23-$B$5)/(($B$4^2)/2)</f>
        <v>0.75</v>
      </c>
    </row>
    <row r="25" spans="4:38" x14ac:dyDescent="0.3">
      <c r="E25">
        <v>0.6</v>
      </c>
      <c r="F25" s="4"/>
      <c r="G25" s="3"/>
      <c r="H25" s="3"/>
      <c r="I25" s="3"/>
      <c r="J25" s="3"/>
      <c r="K25" s="3"/>
      <c r="L25" s="5">
        <v>0</v>
      </c>
      <c r="M25" s="4">
        <v>0.7986199114926098</v>
      </c>
      <c r="N25" s="4">
        <v>1.4227561258461656</v>
      </c>
      <c r="O25" s="4">
        <v>1.8960901550303233</v>
      </c>
      <c r="P25" s="4">
        <v>2.2439209926251493</v>
      </c>
      <c r="Q25" s="4">
        <v>2.5006112979389017</v>
      </c>
      <c r="R25" s="4">
        <v>2.6968467856065201</v>
      </c>
      <c r="S25" s="4">
        <v>2.8568643439623873</v>
      </c>
      <c r="T25" s="5">
        <v>3</v>
      </c>
    </row>
    <row r="26" spans="4:38" x14ac:dyDescent="0.3">
      <c r="E26">
        <v>0.4</v>
      </c>
      <c r="F26" s="4"/>
      <c r="G26" s="3"/>
      <c r="H26" s="3"/>
      <c r="I26" s="3"/>
      <c r="J26" s="3"/>
      <c r="K26" s="3"/>
      <c r="L26" s="3"/>
      <c r="M26" s="5">
        <v>0</v>
      </c>
      <c r="N26" s="4">
        <v>0.62832935507774201</v>
      </c>
      <c r="O26" s="4">
        <v>1.0905635487646177</v>
      </c>
      <c r="P26" s="4">
        <v>1.4011993973158963</v>
      </c>
      <c r="Q26" s="4">
        <v>1.6143225239688592</v>
      </c>
      <c r="R26" s="4">
        <v>1.7693404312837235</v>
      </c>
      <c r="S26" s="4">
        <v>1.8919379180425682</v>
      </c>
      <c r="T26" s="5">
        <v>2</v>
      </c>
    </row>
    <row r="27" spans="4:38" x14ac:dyDescent="0.3">
      <c r="E27">
        <v>0.2</v>
      </c>
      <c r="F27" s="4"/>
      <c r="G27" s="3"/>
      <c r="H27" s="3"/>
      <c r="I27" s="3"/>
      <c r="J27" s="3"/>
      <c r="K27" s="3"/>
      <c r="L27" s="3"/>
      <c r="M27" s="3"/>
      <c r="N27" s="5">
        <v>0</v>
      </c>
      <c r="O27" s="4">
        <v>0.43663922473943312</v>
      </c>
      <c r="P27" s="4">
        <v>0.65599491747225958</v>
      </c>
      <c r="Q27" s="4">
        <v>0.78614325615495206</v>
      </c>
      <c r="R27" s="4">
        <v>0.87425766949214401</v>
      </c>
      <c r="S27" s="4">
        <v>0.94154867599233494</v>
      </c>
      <c r="T27" s="5">
        <v>1</v>
      </c>
    </row>
    <row r="28" spans="4:38" x14ac:dyDescent="0.3">
      <c r="E28">
        <v>0</v>
      </c>
      <c r="F28" s="4"/>
      <c r="G28" s="3"/>
      <c r="H28" s="3"/>
      <c r="I28" s="3"/>
      <c r="J28" s="3"/>
      <c r="K28" s="3"/>
      <c r="L28" s="3"/>
      <c r="M28" s="3"/>
      <c r="N28" s="3"/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</row>
    <row r="29" spans="4:38" x14ac:dyDescent="0.3">
      <c r="F29">
        <v>0</v>
      </c>
      <c r="G29">
        <v>0.2</v>
      </c>
      <c r="H29">
        <v>0.4</v>
      </c>
      <c r="I29">
        <v>0.6</v>
      </c>
      <c r="J29">
        <v>0.8</v>
      </c>
      <c r="K29">
        <v>1</v>
      </c>
      <c r="L29">
        <v>1.2</v>
      </c>
      <c r="M29">
        <v>1.4</v>
      </c>
      <c r="N29">
        <v>1.6</v>
      </c>
      <c r="O29">
        <v>1.8</v>
      </c>
      <c r="P29">
        <v>2</v>
      </c>
      <c r="Q29">
        <v>2.2000000000000002</v>
      </c>
      <c r="R29">
        <v>2.4</v>
      </c>
      <c r="S29">
        <v>2.6</v>
      </c>
      <c r="T29">
        <v>2.8</v>
      </c>
    </row>
    <row r="31" spans="4:38" x14ac:dyDescent="0.3">
      <c r="D31" t="s">
        <v>10</v>
      </c>
      <c r="E31">
        <v>2</v>
      </c>
      <c r="F31" s="5">
        <f>(F5-F6)/$B$2</f>
        <v>10</v>
      </c>
      <c r="G31" s="5">
        <f t="shared" ref="G31:T31" si="47">(G5-G6)/$B$2</f>
        <v>9.8582825502135929</v>
      </c>
      <c r="H31" s="5">
        <f t="shared" si="47"/>
        <v>9.6756715211852651</v>
      </c>
      <c r="I31" s="5">
        <f t="shared" si="47"/>
        <v>9.4096552622448559</v>
      </c>
      <c r="J31" s="5">
        <f t="shared" si="47"/>
        <v>9.02394425840364</v>
      </c>
      <c r="K31" s="5">
        <f t="shared" si="47"/>
        <v>8.5156070826072927</v>
      </c>
      <c r="L31" s="5">
        <f t="shared" si="47"/>
        <v>7.9486004834785629</v>
      </c>
      <c r="M31" s="5">
        <f t="shared" si="47"/>
        <v>7.3893194444939159</v>
      </c>
      <c r="N31" s="5">
        <f t="shared" si="47"/>
        <v>6.8791215822410123</v>
      </c>
      <c r="O31" s="5">
        <f t="shared" si="47"/>
        <v>6.4350426808404748</v>
      </c>
      <c r="P31" s="5">
        <f t="shared" si="47"/>
        <v>6.0579265226384571</v>
      </c>
      <c r="Q31" s="5">
        <f t="shared" si="47"/>
        <v>5.7395177598299618</v>
      </c>
      <c r="R31" s="5">
        <f t="shared" si="47"/>
        <v>5.4670249739190258</v>
      </c>
      <c r="S31" s="5">
        <f t="shared" si="47"/>
        <v>5.2256791584771278</v>
      </c>
      <c r="T31" s="5">
        <f t="shared" si="47"/>
        <v>5</v>
      </c>
    </row>
    <row r="32" spans="4:38" x14ac:dyDescent="0.3">
      <c r="E32">
        <v>1.8</v>
      </c>
      <c r="F32" s="5">
        <f t="shared" ref="F32:J36" si="48">(F6-F7)/$B$2</f>
        <v>10</v>
      </c>
      <c r="G32" s="4">
        <f t="shared" ref="G32:S37" si="49">(G5-G7)/(2*$B$2)</f>
        <v>9.8787286884588212</v>
      </c>
      <c r="H32" s="4">
        <f t="shared" si="49"/>
        <v>9.7173727992252292</v>
      </c>
      <c r="I32" s="4">
        <f t="shared" si="49"/>
        <v>9.469500350341681</v>
      </c>
      <c r="J32" s="4">
        <f t="shared" si="49"/>
        <v>9.0852540697373882</v>
      </c>
      <c r="K32" s="4">
        <f t="shared" si="49"/>
        <v>8.544937086162788</v>
      </c>
      <c r="L32" s="4">
        <f t="shared" si="49"/>
        <v>7.9447318419890944</v>
      </c>
      <c r="M32" s="4">
        <f t="shared" si="49"/>
        <v>7.3647705565642552</v>
      </c>
      <c r="N32" s="4">
        <f t="shared" si="49"/>
        <v>6.8460542578135959</v>
      </c>
      <c r="O32" s="4">
        <f t="shared" si="49"/>
        <v>6.401552913133763</v>
      </c>
      <c r="P32" s="4">
        <f t="shared" si="49"/>
        <v>6.0285651576536559</v>
      </c>
      <c r="Q32" s="4">
        <f t="shared" si="49"/>
        <v>5.7165529929145231</v>
      </c>
      <c r="R32" s="4">
        <f t="shared" si="49"/>
        <v>5.4514467248220999</v>
      </c>
      <c r="S32" s="4">
        <f t="shared" si="49"/>
        <v>5.2178432249404816</v>
      </c>
      <c r="T32" s="5">
        <f t="shared" ref="T32" si="50">(T6-T7)/$B$2</f>
        <v>5</v>
      </c>
    </row>
    <row r="33" spans="4:20" x14ac:dyDescent="0.3">
      <c r="E33">
        <v>1.6</v>
      </c>
      <c r="F33" s="5">
        <f t="shared" si="48"/>
        <v>10</v>
      </c>
      <c r="G33" s="4">
        <f t="shared" si="49"/>
        <v>9.9392583676920729</v>
      </c>
      <c r="H33" s="4">
        <f t="shared" si="49"/>
        <v>9.845588330497943</v>
      </c>
      <c r="I33" s="4">
        <f t="shared" si="49"/>
        <v>9.6657155575067577</v>
      </c>
      <c r="J33" s="4">
        <f t="shared" si="49"/>
        <v>9.3026287363815872</v>
      </c>
      <c r="K33" s="4">
        <f t="shared" si="49"/>
        <v>8.63414732996001</v>
      </c>
      <c r="L33" s="4">
        <f t="shared" si="49"/>
        <v>7.920608266359956</v>
      </c>
      <c r="M33" s="4">
        <f t="shared" si="49"/>
        <v>7.2789637876630531</v>
      </c>
      <c r="N33" s="4">
        <f t="shared" si="49"/>
        <v>6.7387569180503322</v>
      </c>
      <c r="O33" s="4">
        <f t="shared" si="49"/>
        <v>6.2965344719728655</v>
      </c>
      <c r="P33" s="4">
        <f t="shared" si="49"/>
        <v>5.9382133124656296</v>
      </c>
      <c r="Q33" s="4">
        <f t="shared" si="49"/>
        <v>5.6466700596627994</v>
      </c>
      <c r="R33" s="4">
        <f t="shared" si="49"/>
        <v>5.4043564115557174</v>
      </c>
      <c r="S33" s="4">
        <f t="shared" si="49"/>
        <v>5.1942422874652072</v>
      </c>
      <c r="T33" s="5">
        <f t="shared" ref="T33" si="51">(T7-T8)/$B$2</f>
        <v>5</v>
      </c>
    </row>
    <row r="34" spans="4:20" x14ac:dyDescent="0.3">
      <c r="E34">
        <v>1.4</v>
      </c>
      <c r="F34" s="5">
        <f t="shared" si="48"/>
        <v>10</v>
      </c>
      <c r="G34" s="4">
        <f t="shared" si="49"/>
        <v>10.032715995986182</v>
      </c>
      <c r="H34" s="4">
        <f t="shared" si="49"/>
        <v>10.060005616145364</v>
      </c>
      <c r="I34" s="4">
        <f t="shared" si="49"/>
        <v>10.045142978003222</v>
      </c>
      <c r="J34" s="4">
        <f t="shared" si="49"/>
        <v>9.8253949616714973</v>
      </c>
      <c r="K34" s="4">
        <f t="shared" si="49"/>
        <v>8.7684100217781165</v>
      </c>
      <c r="L34" s="4">
        <f t="shared" si="49"/>
        <v>7.8245827488386039</v>
      </c>
      <c r="M34" s="4">
        <f t="shared" si="49"/>
        <v>7.0917094859277618</v>
      </c>
      <c r="N34" s="4">
        <f t="shared" si="49"/>
        <v>6.5334639378306809</v>
      </c>
      <c r="O34" s="4">
        <f t="shared" si="49"/>
        <v>6.1076023406460767</v>
      </c>
      <c r="P34" s="4">
        <f t="shared" si="49"/>
        <v>5.7810719916595517</v>
      </c>
      <c r="Q34" s="4">
        <f t="shared" si="49"/>
        <v>5.5275471536521037</v>
      </c>
      <c r="R34" s="4">
        <f t="shared" si="49"/>
        <v>5.3250592260614305</v>
      </c>
      <c r="S34" s="4">
        <f t="shared" si="49"/>
        <v>5.1547654766593372</v>
      </c>
      <c r="T34" s="5">
        <f t="shared" ref="T34" si="52">(T8-T9)/$B$2</f>
        <v>5</v>
      </c>
    </row>
    <row r="35" spans="4:20" x14ac:dyDescent="0.3">
      <c r="E35">
        <v>1.2</v>
      </c>
      <c r="F35" s="5">
        <f t="shared" si="48"/>
        <v>10</v>
      </c>
      <c r="G35" s="4">
        <f>(G8-G10)/(2*$B$2)</f>
        <v>10.131600357201128</v>
      </c>
      <c r="H35" s="4">
        <f t="shared" ref="H35:S35" si="53">(H8-H10)/(2*$B$2)</f>
        <v>10.316575908909424</v>
      </c>
      <c r="I35" s="4">
        <f t="shared" si="53"/>
        <v>10.629456811370813</v>
      </c>
      <c r="J35" s="4">
        <f t="shared" si="53"/>
        <v>11.18539913441659</v>
      </c>
      <c r="K35" s="4">
        <f t="shared" si="53"/>
        <v>8.7895144683963569</v>
      </c>
      <c r="L35" s="4">
        <f t="shared" si="53"/>
        <v>7.5176004822667242</v>
      </c>
      <c r="M35" s="4">
        <f t="shared" si="53"/>
        <v>6.7298227752936421</v>
      </c>
      <c r="N35" s="4">
        <f t="shared" si="53"/>
        <v>6.1957804128878129</v>
      </c>
      <c r="O35" s="4">
        <f t="shared" si="53"/>
        <v>5.8193316323138529</v>
      </c>
      <c r="P35" s="4">
        <f t="shared" si="53"/>
        <v>5.5509174583757144</v>
      </c>
      <c r="Q35" s="4">
        <f t="shared" si="53"/>
        <v>5.3573807426492426</v>
      </c>
      <c r="R35" s="4">
        <f t="shared" si="53"/>
        <v>5.2135627501879744</v>
      </c>
      <c r="S35" s="4" t="e">
        <f t="shared" si="53"/>
        <v>#VALUE!</v>
      </c>
      <c r="T35" s="5">
        <f t="shared" ref="T35" si="54">(T9-T10)/$B$2</f>
        <v>5</v>
      </c>
    </row>
    <row r="36" spans="4:20" x14ac:dyDescent="0.3">
      <c r="E36">
        <v>1</v>
      </c>
      <c r="F36" s="5">
        <f>(F9-F10)/$B$2</f>
        <v>10</v>
      </c>
      <c r="G36" s="5">
        <f>(G9-G10)/$B$2</f>
        <v>10.177110631109988</v>
      </c>
      <c r="H36" s="5">
        <f>(H9-H10)/$B$2</f>
        <v>10.445243169258811</v>
      </c>
      <c r="I36" s="5">
        <f>(I9-I10)/$B$2</f>
        <v>10.970713343310189</v>
      </c>
      <c r="J36" s="5">
        <f>(J9-J10)/$B$2</f>
        <v>12.178701937182224</v>
      </c>
      <c r="K36" s="4">
        <f t="shared" si="49"/>
        <v>7.6866528920590937</v>
      </c>
      <c r="L36" s="4">
        <f t="shared" si="49"/>
        <v>6.7264845848184729</v>
      </c>
      <c r="M36" s="4">
        <f t="shared" si="49"/>
        <v>6.1142015707980928</v>
      </c>
      <c r="N36" s="4">
        <f t="shared" si="49"/>
        <v>5.700502517974158</v>
      </c>
      <c r="O36" s="4">
        <f t="shared" ref="O36:R40" si="55">(O9-O11)/(2*$B$2)</f>
        <v>5.42302427941822</v>
      </c>
      <c r="P36" s="4">
        <f t="shared" si="55"/>
        <v>5.245882894788287</v>
      </c>
      <c r="Q36" s="4">
        <f t="shared" si="55"/>
        <v>5.137492932279546</v>
      </c>
      <c r="R36" s="4">
        <f t="shared" si="55"/>
        <v>5.0720512180321515</v>
      </c>
      <c r="S36" s="4">
        <f t="shared" si="49"/>
        <v>5.0307016413645727</v>
      </c>
      <c r="T36" s="5">
        <f t="shared" ref="T36" si="56">(T10-T11)/$B$2</f>
        <v>5</v>
      </c>
    </row>
    <row r="37" spans="4:20" x14ac:dyDescent="0.3">
      <c r="E37">
        <v>0.8</v>
      </c>
      <c r="F37" s="4"/>
      <c r="G37" s="3"/>
      <c r="H37" s="3"/>
      <c r="I37" s="3"/>
      <c r="J37" s="3"/>
      <c r="K37" s="5">
        <f>(K10-K11)/$B$2</f>
        <v>6.63706932067997</v>
      </c>
      <c r="L37" s="4">
        <f t="shared" si="49"/>
        <v>5.5874910096340376</v>
      </c>
      <c r="M37" s="4">
        <f t="shared" ref="M37" si="57">(M10-M12)/(2*$B$2)</f>
        <v>5.3000023390267881</v>
      </c>
      <c r="N37" s="4">
        <f t="shared" ref="N37" si="58">(N10-N12)/(2*$B$2)</f>
        <v>5.06900849946165</v>
      </c>
      <c r="O37" s="4">
        <f t="shared" si="55"/>
        <v>4.9263833353864621</v>
      </c>
      <c r="P37" s="4">
        <f t="shared" si="55"/>
        <v>4.8720992392248501</v>
      </c>
      <c r="Q37" s="4">
        <f t="shared" si="55"/>
        <v>4.8746583420622658</v>
      </c>
      <c r="R37" s="4">
        <f t="shared" si="55"/>
        <v>4.9064484583932595</v>
      </c>
      <c r="S37" s="4" t="e">
        <f t="shared" ref="S37" si="59">(S10-S12)/(2*$B$2)</f>
        <v>#VALUE!</v>
      </c>
      <c r="T37" s="5">
        <f t="shared" ref="T37" si="60">(T11-T12)/$B$2</f>
        <v>5</v>
      </c>
    </row>
    <row r="38" spans="4:20" x14ac:dyDescent="0.3">
      <c r="E38">
        <v>0.6</v>
      </c>
      <c r="F38" s="4"/>
      <c r="G38" s="3"/>
      <c r="H38" s="3"/>
      <c r="I38" s="3"/>
      <c r="J38" s="3"/>
      <c r="K38" s="3"/>
      <c r="L38" s="5">
        <f>(L11-L12)/$B$2</f>
        <v>5.0084016487076566</v>
      </c>
      <c r="M38" s="4">
        <f t="shared" ref="M38" si="61">(M11-M13)/(2*$B$2)</f>
        <v>4.4293183867098893</v>
      </c>
      <c r="N38" s="4">
        <f t="shared" ref="N38" si="62">(N11-N13)/(2*$B$2)</f>
        <v>4.3491544897498242</v>
      </c>
      <c r="O38" s="4">
        <f t="shared" si="55"/>
        <v>4.341409134199818</v>
      </c>
      <c r="P38" s="4">
        <f t="shared" si="55"/>
        <v>4.4414787166292005</v>
      </c>
      <c r="Q38" s="4">
        <f t="shared" si="55"/>
        <v>4.5825979319704055</v>
      </c>
      <c r="R38" s="4">
        <f t="shared" si="55"/>
        <v>4.7280897703905111</v>
      </c>
      <c r="S38" s="4">
        <f t="shared" ref="S38" si="63">(S11-S13)/(2*$B$2)</f>
        <v>4.8668437500115784</v>
      </c>
      <c r="T38" s="5">
        <f t="shared" ref="T38" si="64">(T12-T13)/$B$2</f>
        <v>5</v>
      </c>
    </row>
    <row r="39" spans="4:20" x14ac:dyDescent="0.3">
      <c r="E39">
        <v>0.4</v>
      </c>
      <c r="F39" s="4"/>
      <c r="G39" s="3"/>
      <c r="H39" s="3"/>
      <c r="I39" s="3"/>
      <c r="J39" s="3"/>
      <c r="K39" s="3"/>
      <c r="L39" s="3"/>
      <c r="M39" s="5">
        <f t="shared" ref="M39:T41" si="65">(M12-M13)/$B$2</f>
        <v>3.9931027515391171</v>
      </c>
      <c r="N39" s="4">
        <f t="shared" ref="N39" si="66">(N12-N14)/(2*$B$2)</f>
        <v>3.5568933784796974</v>
      </c>
      <c r="O39" s="4">
        <f t="shared" si="55"/>
        <v>3.6486301785085327</v>
      </c>
      <c r="P39" s="4">
        <f t="shared" si="55"/>
        <v>3.9698180547331496</v>
      </c>
      <c r="Q39" s="4">
        <f t="shared" si="55"/>
        <v>4.2861725313774217</v>
      </c>
      <c r="R39" s="4">
        <f t="shared" si="55"/>
        <v>4.5564746657591533</v>
      </c>
      <c r="S39" s="4">
        <f t="shared" ref="S39" si="67">(S12-S14)/(2*$B$2)</f>
        <v>4.7882901348307403</v>
      </c>
      <c r="T39" s="5">
        <f t="shared" ref="T39" si="68">(T13-T14)/$B$2</f>
        <v>5</v>
      </c>
    </row>
    <row r="40" spans="4:20" x14ac:dyDescent="0.3">
      <c r="E40">
        <v>0.2</v>
      </c>
      <c r="F40" s="4"/>
      <c r="G40" s="3"/>
      <c r="H40" s="3"/>
      <c r="I40" s="3"/>
      <c r="J40" s="3"/>
      <c r="K40" s="3"/>
      <c r="L40" s="3"/>
      <c r="M40" s="3"/>
      <c r="N40" s="5">
        <f t="shared" si="65"/>
        <v>3.1416495932634789</v>
      </c>
      <c r="O40" s="4">
        <f t="shared" si="55"/>
        <v>2.7264113326021215</v>
      </c>
      <c r="P40" s="4">
        <f t="shared" si="55"/>
        <v>3.5030012392693037</v>
      </c>
      <c r="Q40" s="4">
        <f t="shared" si="55"/>
        <v>4.0358089891834208</v>
      </c>
      <c r="R40" s="4">
        <f t="shared" si="55"/>
        <v>4.4233530606938061</v>
      </c>
      <c r="S40" s="4">
        <f t="shared" ref="S40" si="69">(S13-S15)/(2*$B$2)</f>
        <v>4.7298459070240284</v>
      </c>
      <c r="T40" s="5">
        <f t="shared" ref="T40" si="70">(T14-T15)/$B$2</f>
        <v>5</v>
      </c>
    </row>
    <row r="41" spans="4:20" x14ac:dyDescent="0.3">
      <c r="E41">
        <v>0</v>
      </c>
      <c r="F41" s="4"/>
      <c r="G41" s="3"/>
      <c r="H41" s="3"/>
      <c r="I41" s="3"/>
      <c r="J41" s="3"/>
      <c r="K41" s="3"/>
      <c r="L41" s="3"/>
      <c r="M41" s="3"/>
      <c r="N41" s="3"/>
      <c r="O41" s="5">
        <f t="shared" si="65"/>
        <v>2.1831980827960966</v>
      </c>
      <c r="P41" s="5">
        <f t="shared" si="65"/>
        <v>3.2799773477628515</v>
      </c>
      <c r="Q41" s="5">
        <f t="shared" si="65"/>
        <v>3.9307188886665783</v>
      </c>
      <c r="R41" s="5">
        <f t="shared" si="65"/>
        <v>4.3712904542887632</v>
      </c>
      <c r="S41" s="5">
        <f t="shared" si="65"/>
        <v>4.7077444844183898</v>
      </c>
      <c r="T41" s="5">
        <f t="shared" si="65"/>
        <v>5</v>
      </c>
    </row>
    <row r="42" spans="4:20" x14ac:dyDescent="0.3">
      <c r="F42">
        <v>0</v>
      </c>
      <c r="G42">
        <v>0.2</v>
      </c>
      <c r="H42">
        <v>0.4</v>
      </c>
      <c r="I42">
        <v>0.6</v>
      </c>
      <c r="J42">
        <v>0.8</v>
      </c>
      <c r="K42">
        <v>1</v>
      </c>
      <c r="L42">
        <v>1.2</v>
      </c>
      <c r="M42">
        <v>1.4</v>
      </c>
      <c r="N42">
        <v>1.6</v>
      </c>
      <c r="O42">
        <v>1.8</v>
      </c>
      <c r="P42">
        <v>2</v>
      </c>
      <c r="Q42">
        <v>2.2000000000000002</v>
      </c>
      <c r="R42">
        <v>2.4</v>
      </c>
      <c r="S42">
        <v>2.6</v>
      </c>
      <c r="T42">
        <v>2.8</v>
      </c>
    </row>
    <row r="44" spans="4:20" x14ac:dyDescent="0.3">
      <c r="D44" t="s">
        <v>13</v>
      </c>
      <c r="E44">
        <v>2</v>
      </c>
      <c r="F44" s="5">
        <f>-(G18-F18)/$B$2</f>
        <v>0</v>
      </c>
      <c r="G44" s="5">
        <f t="shared" ref="G44:T44" si="71">-(H18-G18)/$B$2</f>
        <v>0</v>
      </c>
      <c r="H44" s="5">
        <f t="shared" si="71"/>
        <v>0</v>
      </c>
      <c r="I44" s="5">
        <f t="shared" si="71"/>
        <v>0</v>
      </c>
      <c r="J44" s="5">
        <f t="shared" si="71"/>
        <v>0</v>
      </c>
      <c r="K44" s="5">
        <f t="shared" si="71"/>
        <v>0</v>
      </c>
      <c r="L44" s="5">
        <f t="shared" si="71"/>
        <v>0</v>
      </c>
      <c r="M44" s="5">
        <f t="shared" si="71"/>
        <v>0</v>
      </c>
      <c r="N44" s="5">
        <f t="shared" si="71"/>
        <v>0</v>
      </c>
      <c r="O44" s="5">
        <f t="shared" si="71"/>
        <v>0</v>
      </c>
      <c r="P44" s="5">
        <f t="shared" si="71"/>
        <v>0</v>
      </c>
      <c r="Q44" s="5">
        <f t="shared" si="71"/>
        <v>0</v>
      </c>
      <c r="R44" s="5">
        <f t="shared" si="71"/>
        <v>0</v>
      </c>
      <c r="S44" s="5">
        <f t="shared" si="71"/>
        <v>0</v>
      </c>
      <c r="T44" s="5">
        <f>-(T18-S18)/$B$2</f>
        <v>0</v>
      </c>
    </row>
    <row r="45" spans="4:20" x14ac:dyDescent="0.3">
      <c r="E45">
        <v>1.8</v>
      </c>
      <c r="F45" s="5">
        <f t="shared" ref="F45:K49" si="72">-(G19-F19)/$B$2</f>
        <v>-0.14171711754280558</v>
      </c>
      <c r="G45" s="5">
        <f t="shared" ref="G45:O45" si="73">-(H19-F19)/(2*$B$2)</f>
        <v>-0.16216387252704578</v>
      </c>
      <c r="H45" s="5">
        <f t="shared" ref="H45:O45" si="74">-(I19-G19)/(2*$B$2)</f>
        <v>-0.22431322752253902</v>
      </c>
      <c r="I45" s="5">
        <f t="shared" si="74"/>
        <v>-0.32586309963435589</v>
      </c>
      <c r="J45" s="5">
        <f t="shared" si="74"/>
        <v>-0.44702347168321666</v>
      </c>
      <c r="K45" s="5">
        <f t="shared" si="74"/>
        <v>-0.53767117759352612</v>
      </c>
      <c r="L45" s="5">
        <f t="shared" si="74"/>
        <v>-0.56314315815365834</v>
      </c>
      <c r="M45" s="5">
        <f t="shared" si="74"/>
        <v>-0.53473890655341361</v>
      </c>
      <c r="N45" s="5">
        <f t="shared" si="74"/>
        <v>-0.477138102173571</v>
      </c>
      <c r="O45" s="5">
        <f t="shared" si="74"/>
        <v>-0.41059757829579713</v>
      </c>
      <c r="P45" s="5">
        <f t="shared" ref="O45:R47" si="75">-(Q19-O19)/(2*$B$2)</f>
        <v>-0.34776287305558817</v>
      </c>
      <c r="Q45" s="5">
        <f t="shared" si="75"/>
        <v>-0.29545157112532472</v>
      </c>
      <c r="R45" s="5">
        <f t="shared" si="75"/>
        <v>-0.25692036502965365</v>
      </c>
      <c r="S45" s="5">
        <f t="shared" ref="S45:S47" si="76">-(T19-R19)/(2*$B$2)</f>
        <v>-0.23351379427053676</v>
      </c>
      <c r="T45" s="5">
        <f t="shared" ref="T45:T54" si="77">-(T19-S19)/$B$2</f>
        <v>-0.22568048722074074</v>
      </c>
    </row>
    <row r="46" spans="4:20" x14ac:dyDescent="0.3">
      <c r="E46">
        <v>1.6</v>
      </c>
      <c r="F46" s="5">
        <f t="shared" si="72"/>
        <v>-0.24254205409154572</v>
      </c>
      <c r="G46" s="5">
        <f t="shared" ref="G46:M46" si="78">-(H20-F20)/(2*$B$2)</f>
        <v>-0.28262661256412525</v>
      </c>
      <c r="H46" s="5">
        <f t="shared" si="78"/>
        <v>-0.40922760377606338</v>
      </c>
      <c r="I46" s="5">
        <f t="shared" si="78"/>
        <v>-0.63211782635749003</v>
      </c>
      <c r="J46" s="5">
        <f t="shared" si="78"/>
        <v>-0.9245620820472511</v>
      </c>
      <c r="K46" s="5">
        <f t="shared" si="78"/>
        <v>-1.1405209200132838</v>
      </c>
      <c r="L46" s="5">
        <f t="shared" si="78"/>
        <v>-1.1801651920798117</v>
      </c>
      <c r="M46" s="5">
        <f t="shared" si="78"/>
        <v>-1.0986765421478628</v>
      </c>
      <c r="N46" s="5">
        <f t="shared" ref="N46:O46" si="79">-(O20-M20)/(2*$B$2)</f>
        <v>-0.96321704245768247</v>
      </c>
      <c r="O46" s="5">
        <f t="shared" si="79"/>
        <v>-0.81748914397595129</v>
      </c>
      <c r="P46" s="5">
        <f t="shared" si="75"/>
        <v>-0.68500069259988638</v>
      </c>
      <c r="Q46" s="5">
        <f t="shared" si="75"/>
        <v>-0.57711985935363863</v>
      </c>
      <c r="R46" s="5">
        <f t="shared" si="75"/>
        <v>-0.49871183730981095</v>
      </c>
      <c r="S46" s="5">
        <f t="shared" si="76"/>
        <v>-0.45144909558764823</v>
      </c>
      <c r="T46" s="5">
        <f t="shared" si="77"/>
        <v>-0.43568904536744224</v>
      </c>
    </row>
    <row r="47" spans="4:20" x14ac:dyDescent="0.3">
      <c r="E47">
        <v>1.4</v>
      </c>
      <c r="F47" s="5">
        <f t="shared" si="72"/>
        <v>-0.26320014965835803</v>
      </c>
      <c r="G47" s="5">
        <f t="shared" ref="G47:M47" si="80">-(H21-F21)/(2*$B$2)</f>
        <v>-0.31657527270442243</v>
      </c>
      <c r="H47" s="5">
        <f t="shared" si="80"/>
        <v>-0.49785568602441321</v>
      </c>
      <c r="I47" s="5">
        <f t="shared" si="80"/>
        <v>-0.86882213249369844</v>
      </c>
      <c r="J47" s="5">
        <f t="shared" si="80"/>
        <v>-1.4785908386615754</v>
      </c>
      <c r="K47" s="5">
        <f t="shared" si="80"/>
        <v>-1.9196904592725983</v>
      </c>
      <c r="L47" s="5">
        <f t="shared" si="80"/>
        <v>-1.9183254980793385</v>
      </c>
      <c r="M47" s="5">
        <f t="shared" si="80"/>
        <v>-1.7165891956110779</v>
      </c>
      <c r="N47" s="5">
        <f t="shared" ref="N47:O47" si="81">-(O21-M21)/(2*$B$2)</f>
        <v>-1.4595667854245753</v>
      </c>
      <c r="O47" s="5">
        <f t="shared" si="81"/>
        <v>-1.2111410872864004</v>
      </c>
      <c r="P47" s="5">
        <f t="shared" si="75"/>
        <v>-0.99762780449177857</v>
      </c>
      <c r="Q47" s="5">
        <f t="shared" si="75"/>
        <v>-0.82930963029118843</v>
      </c>
      <c r="R47" s="5">
        <f t="shared" si="75"/>
        <v>-0.70934975192524119</v>
      </c>
      <c r="S47" s="5">
        <f t="shared" si="76"/>
        <v>-0.63787222234061414</v>
      </c>
      <c r="T47" s="5">
        <f t="shared" si="77"/>
        <v>-0.6141671211277977</v>
      </c>
    </row>
    <row r="48" spans="4:20" x14ac:dyDescent="0.3">
      <c r="E48">
        <v>1.2</v>
      </c>
      <c r="F48" s="5">
        <f>-(G22-F22)/$B$2</f>
        <v>-0.17711025810864367</v>
      </c>
      <c r="G48" s="5">
        <f t="shared" ref="G48:M49" si="82">-(H22-F22)/(2*$B$2)</f>
        <v>-0.22262118739080017</v>
      </c>
      <c r="H48" s="5">
        <f t="shared" si="82"/>
        <v>-0.39680080770455817</v>
      </c>
      <c r="I48" s="5">
        <f t="shared" si="82"/>
        <v>-0.86672855098518742</v>
      </c>
      <c r="J48" s="5">
        <f t="shared" si="82"/>
        <v>-2.2012945956485686</v>
      </c>
      <c r="K48" s="5">
        <f t="shared" si="82"/>
        <v>-3.1413321731824948</v>
      </c>
      <c r="L48" s="5">
        <f t="shared" si="82"/>
        <v>-2.8568645984510921</v>
      </c>
      <c r="M48" s="5">
        <f t="shared" si="82"/>
        <v>-2.3897943700618129</v>
      </c>
      <c r="N48" s="5">
        <f t="shared" ref="N48:O48" si="83">-(O22-M22)/(2*$B$2)</f>
        <v>-1.947323464712476</v>
      </c>
      <c r="O48" s="5">
        <f t="shared" si="83"/>
        <v>-1.569880807651618</v>
      </c>
      <c r="P48" s="5">
        <f t="shared" ref="O48:R53" si="84">-(Q22-O22)/(2*$B$2)</f>
        <v>-1.265056081083813</v>
      </c>
      <c r="Q48" s="5">
        <f t="shared" si="84"/>
        <v>-1.033133285307859</v>
      </c>
      <c r="R48" s="5">
        <f t="shared" si="84"/>
        <v>-0.87149460155441449</v>
      </c>
      <c r="S48" s="5">
        <f>-(T22-R22)/(2*$B$2)</f>
        <v>-0.7765096254202275</v>
      </c>
      <c r="T48" s="5">
        <f t="shared" si="77"/>
        <v>-0.74522144358151188</v>
      </c>
    </row>
    <row r="49" spans="4:20" x14ac:dyDescent="0.3">
      <c r="E49">
        <v>1</v>
      </c>
      <c r="F49" s="5">
        <f t="shared" si="72"/>
        <v>0</v>
      </c>
      <c r="G49" s="5">
        <f t="shared" si="72"/>
        <v>0</v>
      </c>
      <c r="H49" s="5">
        <f t="shared" si="72"/>
        <v>0</v>
      </c>
      <c r="I49" s="5">
        <f t="shared" si="72"/>
        <v>0</v>
      </c>
      <c r="J49" s="5">
        <f>-(K23-J23)/$B$2</f>
        <v>-6.6370666375734766</v>
      </c>
      <c r="K49" s="5">
        <f t="shared" si="82"/>
        <v>-5.5874881089524919</v>
      </c>
      <c r="L49" s="5">
        <f t="shared" ref="L49:O49" si="85">-(M23-K23)/(2*$B$2)</f>
        <v>-3.9780162204719072</v>
      </c>
      <c r="M49" s="5">
        <f t="shared" si="85"/>
        <v>-3.0384083219590408</v>
      </c>
      <c r="N49" s="5">
        <f t="shared" si="85"/>
        <v>-2.3700571917107025</v>
      </c>
      <c r="O49" s="5">
        <f t="shared" si="85"/>
        <v>-1.8560035522415941</v>
      </c>
      <c r="P49" s="5">
        <f t="shared" si="84"/>
        <v>-1.4595785314015941</v>
      </c>
      <c r="Q49" s="5">
        <f t="shared" si="84"/>
        <v>-1.1666644807892923</v>
      </c>
      <c r="R49" s="5">
        <f t="shared" si="84"/>
        <v>-0.96697311721390955</v>
      </c>
      <c r="S49" s="5" t="e">
        <f t="shared" ref="S49:S53" si="86">-(T23-R23)/(2*$B$2)</f>
        <v>#VALUE!</v>
      </c>
      <c r="T49" s="5" t="e">
        <f t="shared" si="77"/>
        <v>#VALUE!</v>
      </c>
    </row>
    <row r="50" spans="4:20" x14ac:dyDescent="0.3">
      <c r="E50">
        <v>0.8</v>
      </c>
      <c r="F50" s="4"/>
      <c r="G50" s="3"/>
      <c r="H50" s="3"/>
      <c r="I50" s="3"/>
      <c r="J50" s="3"/>
      <c r="K50" s="5">
        <f>-(L24-K24)/$B$2</f>
        <v>-5.0083985378645739</v>
      </c>
      <c r="L50" s="5">
        <f t="shared" ref="L50:O50" si="87">-(M24-K24)/(2*$B$2)</f>
        <v>-4.4293151884628195</v>
      </c>
      <c r="M50" s="5">
        <f t="shared" si="87"/>
        <v>-3.4157756909848129</v>
      </c>
      <c r="N50" s="5">
        <f t="shared" si="87"/>
        <v>-2.6385000230736719</v>
      </c>
      <c r="O50" s="5">
        <f t="shared" si="87"/>
        <v>-2.0244998288284011</v>
      </c>
      <c r="P50" s="5">
        <f t="shared" si="84"/>
        <v>-1.550586935805035</v>
      </c>
      <c r="Q50" s="5">
        <f t="shared" si="84"/>
        <v>-1.2069645999061096</v>
      </c>
      <c r="R50" s="5">
        <f t="shared" si="84"/>
        <v>-0.97828560169549328</v>
      </c>
      <c r="S50" s="5">
        <f t="shared" si="86"/>
        <v>-0.848560611348389</v>
      </c>
      <c r="T50" s="5">
        <f t="shared" si="77"/>
        <v>-0.8066245019259588</v>
      </c>
    </row>
    <row r="51" spans="4:20" x14ac:dyDescent="0.3">
      <c r="E51">
        <v>0.6</v>
      </c>
      <c r="F51" s="4"/>
      <c r="G51" s="3"/>
      <c r="H51" s="3"/>
      <c r="I51" s="3"/>
      <c r="J51" s="3"/>
      <c r="K51" s="3"/>
      <c r="L51" s="5">
        <f>-(M25-L25)/$B$2</f>
        <v>-3.993099557463049</v>
      </c>
      <c r="M51" s="5">
        <f t="shared" ref="M51:O51" si="88">-(N25-L25)/(2*$B$2)</f>
        <v>-3.5568903146154138</v>
      </c>
      <c r="N51" s="5">
        <f t="shared" si="88"/>
        <v>-2.7436756088442835</v>
      </c>
      <c r="O51" s="5">
        <f t="shared" si="88"/>
        <v>-2.052912166947459</v>
      </c>
      <c r="P51" s="5">
        <f t="shared" si="84"/>
        <v>-1.511302857271446</v>
      </c>
      <c r="Q51" s="5">
        <f t="shared" si="84"/>
        <v>-1.132314482453427</v>
      </c>
      <c r="R51" s="5">
        <f t="shared" si="84"/>
        <v>-0.89063261505871405</v>
      </c>
      <c r="S51" s="5">
        <f t="shared" si="86"/>
        <v>-0.75788303598369966</v>
      </c>
      <c r="T51" s="5">
        <f t="shared" si="77"/>
        <v>-0.71567828018806345</v>
      </c>
    </row>
    <row r="52" spans="4:20" x14ac:dyDescent="0.3">
      <c r="E52">
        <v>0.4</v>
      </c>
      <c r="F52" s="4"/>
      <c r="G52" s="3"/>
      <c r="H52" s="3"/>
      <c r="I52" s="3"/>
      <c r="J52" s="3"/>
      <c r="K52" s="3"/>
      <c r="L52" s="3"/>
      <c r="M52" s="5">
        <f>-(N26-M26)/$B$2</f>
        <v>-3.1416467753887098</v>
      </c>
      <c r="N52" s="5">
        <f t="shared" ref="N52:O52" si="89">-(O26-M26)/(2*$B$2)</f>
        <v>-2.726408871911544</v>
      </c>
      <c r="O52" s="5">
        <f t="shared" si="89"/>
        <v>-1.9321751055953855</v>
      </c>
      <c r="P52" s="5">
        <f t="shared" si="84"/>
        <v>-1.3093974380106037</v>
      </c>
      <c r="Q52" s="5">
        <f t="shared" si="84"/>
        <v>-0.92035258491956817</v>
      </c>
      <c r="R52" s="5">
        <f t="shared" si="84"/>
        <v>-0.69403848518427236</v>
      </c>
      <c r="S52" s="5">
        <f t="shared" si="86"/>
        <v>-0.57664892179069116</v>
      </c>
      <c r="T52" s="5">
        <f t="shared" si="77"/>
        <v>-0.54031040978715916</v>
      </c>
    </row>
    <row r="53" spans="4:20" x14ac:dyDescent="0.3">
      <c r="E53">
        <v>0.2</v>
      </c>
      <c r="F53" s="4"/>
      <c r="G53" s="3"/>
      <c r="H53" s="3"/>
      <c r="I53" s="3"/>
      <c r="J53" s="3"/>
      <c r="K53" s="3"/>
      <c r="L53" s="3"/>
      <c r="M53" s="3"/>
      <c r="N53" s="5">
        <f>-(O27-N27)/$B$2</f>
        <v>-2.1831961236971655</v>
      </c>
      <c r="O53" s="5">
        <f t="shared" ref="O53" si="90">-(P27-N27)/(2*$B$2)</f>
        <v>-1.6399872936806488</v>
      </c>
      <c r="P53" s="5">
        <f t="shared" si="84"/>
        <v>-0.87376007853879734</v>
      </c>
      <c r="Q53" s="5">
        <f t="shared" si="84"/>
        <v>-0.54565688004971102</v>
      </c>
      <c r="R53" s="5">
        <f t="shared" si="84"/>
        <v>-0.38851354959345719</v>
      </c>
      <c r="S53" s="5">
        <f t="shared" si="86"/>
        <v>-0.31435582626963998</v>
      </c>
      <c r="T53" s="5">
        <f t="shared" si="77"/>
        <v>-0.29225662003832531</v>
      </c>
    </row>
    <row r="54" spans="4:20" x14ac:dyDescent="0.3">
      <c r="E54">
        <v>0</v>
      </c>
      <c r="F54" s="4"/>
      <c r="G54" s="3"/>
      <c r="H54" s="3"/>
      <c r="I54" s="3"/>
      <c r="J54" s="3"/>
      <c r="K54" s="3"/>
      <c r="L54" s="3"/>
      <c r="M54" s="3"/>
      <c r="N54" s="3"/>
      <c r="O54" s="5">
        <f t="shared" ref="O54:S54" si="91">-(O28-N28)/$B$2</f>
        <v>0</v>
      </c>
      <c r="P54" s="5">
        <f t="shared" si="91"/>
        <v>0</v>
      </c>
      <c r="Q54" s="5">
        <f t="shared" si="91"/>
        <v>0</v>
      </c>
      <c r="R54" s="5">
        <f t="shared" si="91"/>
        <v>0</v>
      </c>
      <c r="S54" s="5">
        <f t="shared" si="91"/>
        <v>0</v>
      </c>
      <c r="T54" s="5">
        <f t="shared" si="77"/>
        <v>0</v>
      </c>
    </row>
    <row r="55" spans="4:20" x14ac:dyDescent="0.3">
      <c r="F55">
        <v>0</v>
      </c>
      <c r="G55">
        <v>0.2</v>
      </c>
      <c r="H55">
        <v>0.4</v>
      </c>
      <c r="I55">
        <v>0.6</v>
      </c>
      <c r="J55">
        <v>0.8</v>
      </c>
      <c r="K55">
        <v>1</v>
      </c>
      <c r="L55">
        <v>1.2</v>
      </c>
      <c r="M55">
        <v>1.4</v>
      </c>
      <c r="N55">
        <v>1.6</v>
      </c>
      <c r="O55">
        <v>1.8</v>
      </c>
      <c r="P55">
        <v>2</v>
      </c>
      <c r="Q55">
        <v>2.2000000000000002</v>
      </c>
      <c r="R55">
        <v>2.4</v>
      </c>
      <c r="S55">
        <v>2.6</v>
      </c>
      <c r="T55">
        <v>2.8</v>
      </c>
    </row>
    <row r="57" spans="4:20" x14ac:dyDescent="0.3">
      <c r="D57" t="s">
        <v>14</v>
      </c>
      <c r="E57">
        <v>2</v>
      </c>
      <c r="F57" s="5">
        <f>(F31^2+F44^2)^0.5</f>
        <v>10</v>
      </c>
      <c r="G57" s="5">
        <f t="shared" ref="G57:T57" si="92">(G31^2+G44^2)^0.5</f>
        <v>9.8582825502135929</v>
      </c>
      <c r="H57" s="5">
        <f t="shared" si="92"/>
        <v>9.6756715211852651</v>
      </c>
      <c r="I57" s="5">
        <f t="shared" si="92"/>
        <v>9.4096552622448559</v>
      </c>
      <c r="J57" s="5">
        <f t="shared" si="92"/>
        <v>9.02394425840364</v>
      </c>
      <c r="K57" s="5">
        <f t="shared" si="92"/>
        <v>8.5156070826072927</v>
      </c>
      <c r="L57" s="5">
        <f t="shared" si="92"/>
        <v>7.9486004834785629</v>
      </c>
      <c r="M57" s="5">
        <f t="shared" si="92"/>
        <v>7.3893194444939159</v>
      </c>
      <c r="N57" s="5">
        <f t="shared" si="92"/>
        <v>6.8791215822410123</v>
      </c>
      <c r="O57" s="5">
        <f t="shared" si="92"/>
        <v>6.4350426808404748</v>
      </c>
      <c r="P57" s="5">
        <f t="shared" si="92"/>
        <v>6.0579265226384571</v>
      </c>
      <c r="Q57" s="5">
        <f t="shared" si="92"/>
        <v>5.7395177598299618</v>
      </c>
      <c r="R57" s="5">
        <f t="shared" si="92"/>
        <v>5.4670249739190258</v>
      </c>
      <c r="S57" s="5">
        <f t="shared" si="92"/>
        <v>5.2256791584771278</v>
      </c>
      <c r="T57" s="5">
        <f t="shared" si="92"/>
        <v>5</v>
      </c>
    </row>
    <row r="58" spans="4:20" x14ac:dyDescent="0.3">
      <c r="E58">
        <v>1.8</v>
      </c>
      <c r="F58" s="5">
        <f t="shared" ref="F58:T58" si="93">(F32^2+F45^2)^0.5</f>
        <v>10.001004136655711</v>
      </c>
      <c r="G58" s="5">
        <f t="shared" si="93"/>
        <v>9.8800595960617716</v>
      </c>
      <c r="H58" s="5">
        <f t="shared" si="93"/>
        <v>9.7199614476171643</v>
      </c>
      <c r="I58" s="5">
        <f t="shared" si="93"/>
        <v>9.4751054687968796</v>
      </c>
      <c r="J58" s="5">
        <f t="shared" si="93"/>
        <v>9.09624491182573</v>
      </c>
      <c r="K58" s="5">
        <f t="shared" si="93"/>
        <v>8.5618362575848757</v>
      </c>
      <c r="L58" s="5">
        <f t="shared" si="93"/>
        <v>7.9646653575458339</v>
      </c>
      <c r="M58" s="5">
        <f t="shared" si="93"/>
        <v>7.384158113760682</v>
      </c>
      <c r="N58" s="5">
        <f t="shared" si="93"/>
        <v>6.8626612672835208</v>
      </c>
      <c r="O58" s="5">
        <f t="shared" si="93"/>
        <v>6.4147073254322162</v>
      </c>
      <c r="P58" s="5">
        <f t="shared" si="93"/>
        <v>6.0385873245281072</v>
      </c>
      <c r="Q58" s="5">
        <f t="shared" si="93"/>
        <v>5.7241828894332514</v>
      </c>
      <c r="R58" s="5">
        <f t="shared" si="93"/>
        <v>5.4574975462697708</v>
      </c>
      <c r="S58" s="5">
        <f t="shared" si="93"/>
        <v>5.223065824989372</v>
      </c>
      <c r="T58" s="5">
        <f t="shared" si="93"/>
        <v>5.0050905768339691</v>
      </c>
    </row>
    <row r="59" spans="4:20" x14ac:dyDescent="0.3">
      <c r="E59">
        <v>1.6</v>
      </c>
      <c r="F59" s="5">
        <f t="shared" ref="F59:T59" si="94">(F33^2+F46^2)^0.5</f>
        <v>10.00294089995552</v>
      </c>
      <c r="G59" s="5">
        <f t="shared" si="94"/>
        <v>9.9432758536543862</v>
      </c>
      <c r="H59" s="5">
        <f t="shared" si="94"/>
        <v>9.8540893442940511</v>
      </c>
      <c r="I59" s="5">
        <f t="shared" si="94"/>
        <v>9.6863631041287679</v>
      </c>
      <c r="J59" s="5">
        <f t="shared" si="94"/>
        <v>9.348460646037509</v>
      </c>
      <c r="K59" s="5">
        <f t="shared" si="94"/>
        <v>8.7091496763141869</v>
      </c>
      <c r="L59" s="5">
        <f t="shared" si="94"/>
        <v>8.0080475266900386</v>
      </c>
      <c r="M59" s="5">
        <f t="shared" si="94"/>
        <v>7.3614131772626408</v>
      </c>
      <c r="N59" s="5">
        <f t="shared" si="94"/>
        <v>6.8072484802196058</v>
      </c>
      <c r="O59" s="5">
        <f t="shared" si="94"/>
        <v>6.3493806672195321</v>
      </c>
      <c r="P59" s="5">
        <f t="shared" si="94"/>
        <v>5.9775917636792784</v>
      </c>
      <c r="Q59" s="5">
        <f t="shared" si="94"/>
        <v>5.6760858075572331</v>
      </c>
      <c r="R59" s="5">
        <f t="shared" si="94"/>
        <v>5.4273180964262924</v>
      </c>
      <c r="S59" s="5">
        <f t="shared" si="94"/>
        <v>5.2138238584362142</v>
      </c>
      <c r="T59" s="5">
        <f t="shared" si="94"/>
        <v>5.0189465970712615</v>
      </c>
    </row>
    <row r="60" spans="4:20" x14ac:dyDescent="0.3">
      <c r="E60">
        <v>1.4</v>
      </c>
      <c r="F60" s="5">
        <f t="shared" ref="F60:T60" si="95">(F34^2+F47^2)^0.5</f>
        <v>10.00346311628029</v>
      </c>
      <c r="G60" s="5">
        <f t="shared" si="95"/>
        <v>10.037709407997667</v>
      </c>
      <c r="H60" s="5">
        <f t="shared" si="95"/>
        <v>10.072317175356577</v>
      </c>
      <c r="I60" s="5">
        <f t="shared" si="95"/>
        <v>10.082645949672056</v>
      </c>
      <c r="J60" s="5">
        <f t="shared" si="95"/>
        <v>9.9360262188167354</v>
      </c>
      <c r="K60" s="5">
        <f t="shared" si="95"/>
        <v>8.9760918984511928</v>
      </c>
      <c r="L60" s="5">
        <f t="shared" si="95"/>
        <v>8.056306095848397</v>
      </c>
      <c r="M60" s="5">
        <f t="shared" si="95"/>
        <v>7.2965075138237534</v>
      </c>
      <c r="N60" s="5">
        <f t="shared" si="95"/>
        <v>6.6945116497059445</v>
      </c>
      <c r="O60" s="5">
        <f t="shared" si="95"/>
        <v>6.2265294574729761</v>
      </c>
      <c r="P60" s="5">
        <f t="shared" si="95"/>
        <v>5.8665198038569359</v>
      </c>
      <c r="Q60" s="5">
        <f t="shared" si="95"/>
        <v>5.5894124913752057</v>
      </c>
      <c r="R60" s="5">
        <f t="shared" si="95"/>
        <v>5.3720976193306802</v>
      </c>
      <c r="S60" s="5">
        <f t="shared" si="95"/>
        <v>5.1940820258629641</v>
      </c>
      <c r="T60" s="5">
        <f t="shared" si="95"/>
        <v>5.0375789078360258</v>
      </c>
    </row>
    <row r="61" spans="4:20" x14ac:dyDescent="0.3">
      <c r="E61">
        <v>1.2</v>
      </c>
      <c r="F61" s="5">
        <f t="shared" ref="F61:T61" si="96">(F35^2+F48^2)^0.5</f>
        <v>10.001568279201383</v>
      </c>
      <c r="G61" s="5">
        <f t="shared" si="96"/>
        <v>10.134045884596798</v>
      </c>
      <c r="H61" s="5">
        <f t="shared" si="96"/>
        <v>10.324204054806613</v>
      </c>
      <c r="I61" s="5">
        <f t="shared" si="96"/>
        <v>10.664734899934938</v>
      </c>
      <c r="J61" s="5">
        <f t="shared" si="96"/>
        <v>11.399949635548351</v>
      </c>
      <c r="K61" s="5">
        <f t="shared" si="96"/>
        <v>9.3339987364698285</v>
      </c>
      <c r="L61" s="5">
        <f t="shared" si="96"/>
        <v>8.0421385430033467</v>
      </c>
      <c r="M61" s="5">
        <f t="shared" si="96"/>
        <v>7.1415426707427967</v>
      </c>
      <c r="N61" s="5">
        <f t="shared" si="96"/>
        <v>6.4945949528006812</v>
      </c>
      <c r="O61" s="5">
        <f t="shared" si="96"/>
        <v>6.0273664561798057</v>
      </c>
      <c r="P61" s="5">
        <f t="shared" si="96"/>
        <v>5.6932461318642664</v>
      </c>
      <c r="Q61" s="5">
        <f t="shared" si="96"/>
        <v>5.456087683214041</v>
      </c>
      <c r="R61" s="5">
        <f t="shared" si="96"/>
        <v>5.2859000549278345</v>
      </c>
      <c r="S61" s="5" t="e">
        <f t="shared" si="96"/>
        <v>#VALUE!</v>
      </c>
      <c r="T61" s="5">
        <f t="shared" si="96"/>
        <v>5.0552304596302742</v>
      </c>
    </row>
    <row r="62" spans="4:20" x14ac:dyDescent="0.3">
      <c r="E62">
        <v>1</v>
      </c>
      <c r="F62" s="5">
        <f t="shared" ref="F62:T63" si="97">(F36^2+F49^2)^0.5</f>
        <v>10</v>
      </c>
      <c r="G62" s="5">
        <f t="shared" si="97"/>
        <v>10.177110631109988</v>
      </c>
      <c r="H62" s="5">
        <f t="shared" si="97"/>
        <v>10.445243169258811</v>
      </c>
      <c r="I62" s="5">
        <f t="shared" si="97"/>
        <v>10.970713343310189</v>
      </c>
      <c r="J62" s="5">
        <f t="shared" si="97"/>
        <v>13.869802969989045</v>
      </c>
      <c r="K62" s="5">
        <f t="shared" si="97"/>
        <v>9.5028761988508474</v>
      </c>
      <c r="L62" s="5">
        <f t="shared" si="97"/>
        <v>7.8147429849060384</v>
      </c>
      <c r="M62" s="5">
        <f t="shared" si="97"/>
        <v>6.8275461169661691</v>
      </c>
      <c r="N62" s="5">
        <f t="shared" si="97"/>
        <v>6.1735646145002265</v>
      </c>
      <c r="O62" s="5">
        <f t="shared" si="97"/>
        <v>5.7318357897878514</v>
      </c>
      <c r="P62" s="5">
        <f t="shared" ref="P62:T62" si="98">(P36^2+P49^2)^0.5</f>
        <v>5.4451498450603522</v>
      </c>
      <c r="Q62" s="5">
        <f t="shared" si="98"/>
        <v>5.2682957054400079</v>
      </c>
      <c r="R62" s="5">
        <f t="shared" si="98"/>
        <v>5.1634039710016708</v>
      </c>
      <c r="S62" s="5" t="e">
        <f t="shared" si="98"/>
        <v>#VALUE!</v>
      </c>
      <c r="T62" s="5" t="e">
        <f t="shared" si="98"/>
        <v>#VALUE!</v>
      </c>
    </row>
    <row r="63" spans="4:20" x14ac:dyDescent="0.3">
      <c r="E63">
        <v>0.8</v>
      </c>
      <c r="F63" s="4"/>
      <c r="G63" s="3"/>
      <c r="H63" s="3"/>
      <c r="I63" s="3"/>
      <c r="J63" s="3"/>
      <c r="K63" s="5">
        <f t="shared" si="97"/>
        <v>8.3147306078787242</v>
      </c>
      <c r="L63" s="5">
        <f t="shared" ref="L63:O63" si="99">(L37^2+L50^2)^0.5</f>
        <v>7.1301394671835565</v>
      </c>
      <c r="M63" s="5">
        <f t="shared" si="99"/>
        <v>6.3053587023112492</v>
      </c>
      <c r="N63" s="5">
        <f t="shared" si="99"/>
        <v>5.7145891837798999</v>
      </c>
      <c r="O63" s="5">
        <f t="shared" si="99"/>
        <v>5.3261479818063329</v>
      </c>
      <c r="P63" s="5">
        <f t="shared" ref="P63:T63" si="100">(P37^2+P50^2)^0.5</f>
        <v>5.1128926100930974</v>
      </c>
      <c r="Q63" s="5">
        <f t="shared" si="100"/>
        <v>5.0218579726296273</v>
      </c>
      <c r="R63" s="5">
        <f t="shared" si="100"/>
        <v>5.0030270030606774</v>
      </c>
      <c r="S63" s="5" t="e">
        <f t="shared" si="100"/>
        <v>#VALUE!</v>
      </c>
      <c r="T63" s="5">
        <f t="shared" si="100"/>
        <v>5.0646463930966892</v>
      </c>
    </row>
    <row r="64" spans="4:20" x14ac:dyDescent="0.3">
      <c r="E64">
        <v>0.6</v>
      </c>
      <c r="F64" s="4"/>
      <c r="G64" s="3"/>
      <c r="H64" s="3"/>
      <c r="I64" s="3"/>
      <c r="J64" s="3"/>
      <c r="K64" s="3"/>
      <c r="L64" s="5">
        <f t="shared" ref="L64:O64" si="101">(L38^2+L51^2)^0.5</f>
        <v>6.4053829823507957</v>
      </c>
      <c r="M64" s="5">
        <f t="shared" si="101"/>
        <v>5.6806980276240031</v>
      </c>
      <c r="N64" s="5">
        <f t="shared" si="101"/>
        <v>5.1422660979647974</v>
      </c>
      <c r="O64" s="5">
        <f t="shared" si="101"/>
        <v>4.8023204428395374</v>
      </c>
      <c r="P64" s="5">
        <f t="shared" ref="P64:T64" si="102">(P38^2+P51^2)^0.5</f>
        <v>4.6915636536944705</v>
      </c>
      <c r="Q64" s="5">
        <f t="shared" si="102"/>
        <v>4.7204173431247805</v>
      </c>
      <c r="R64" s="5">
        <f t="shared" si="102"/>
        <v>4.8112430131804524</v>
      </c>
      <c r="S64" s="5">
        <f t="shared" si="102"/>
        <v>4.9255004601825627</v>
      </c>
      <c r="T64" s="5">
        <f t="shared" si="102"/>
        <v>5.0509598494477208</v>
      </c>
    </row>
    <row r="65" spans="5:20" x14ac:dyDescent="0.3">
      <c r="E65">
        <v>0.4</v>
      </c>
      <c r="F65" s="4"/>
      <c r="G65" s="3"/>
      <c r="H65" s="3"/>
      <c r="I65" s="3"/>
      <c r="J65" s="3"/>
      <c r="K65" s="3"/>
      <c r="L65" s="3"/>
      <c r="M65" s="5">
        <f t="shared" ref="M65:O65" si="103">(M39^2+M52^2)^0.5</f>
        <v>5.0808280866074913</v>
      </c>
      <c r="N65" s="5">
        <f t="shared" si="103"/>
        <v>4.4816063908726624</v>
      </c>
      <c r="O65" s="5">
        <f t="shared" si="103"/>
        <v>4.1286562969331495</v>
      </c>
      <c r="P65" s="5">
        <f t="shared" ref="P65:T65" si="104">(P39^2+P52^2)^0.5</f>
        <v>4.1801886366950018</v>
      </c>
      <c r="Q65" s="5">
        <f t="shared" si="104"/>
        <v>4.3838708750717634</v>
      </c>
      <c r="R65" s="5">
        <f t="shared" si="104"/>
        <v>4.609029268579433</v>
      </c>
      <c r="S65" s="5">
        <f t="shared" si="104"/>
        <v>4.8228877650552642</v>
      </c>
      <c r="T65" s="5">
        <f t="shared" si="104"/>
        <v>5.0291088016590342</v>
      </c>
    </row>
    <row r="66" spans="5:20" x14ac:dyDescent="0.3">
      <c r="E66">
        <v>0.2</v>
      </c>
      <c r="F66" s="4"/>
      <c r="G66" s="3"/>
      <c r="H66" s="3"/>
      <c r="I66" s="3"/>
      <c r="J66" s="3"/>
      <c r="K66" s="3"/>
      <c r="L66" s="3"/>
      <c r="M66" s="3"/>
      <c r="N66" s="5">
        <f t="shared" ref="N66:O66" si="105">(N40^2+N53^2)^0.5</f>
        <v>3.8257427359114091</v>
      </c>
      <c r="O66" s="5">
        <f t="shared" si="105"/>
        <v>3.1816469128385783</v>
      </c>
      <c r="P66" s="5">
        <f t="shared" ref="P66:T66" si="106">(P40^2+P53^2)^0.5</f>
        <v>3.610328843356295</v>
      </c>
      <c r="Q66" s="5">
        <f t="shared" si="106"/>
        <v>4.0725293894481949</v>
      </c>
      <c r="R66" s="5">
        <f t="shared" si="106"/>
        <v>4.440382312117614</v>
      </c>
      <c r="S66" s="5">
        <f t="shared" si="106"/>
        <v>4.7402807817366286</v>
      </c>
      <c r="T66" s="5">
        <f t="shared" si="106"/>
        <v>5.0085341100921159</v>
      </c>
    </row>
    <row r="67" spans="5:20" x14ac:dyDescent="0.3">
      <c r="E67">
        <v>0</v>
      </c>
      <c r="F67" s="4"/>
      <c r="G67" s="3"/>
      <c r="H67" s="3"/>
      <c r="I67" s="3"/>
      <c r="J67" s="3"/>
      <c r="K67" s="3"/>
      <c r="L67" s="3"/>
      <c r="M67" s="3"/>
      <c r="N67" s="3"/>
      <c r="O67" s="5">
        <f t="shared" ref="O67:T67" si="107">(O41^2+O54^2)^0.5</f>
        <v>2.1831980827960966</v>
      </c>
      <c r="P67" s="5">
        <f t="shared" si="107"/>
        <v>3.2799773477628515</v>
      </c>
      <c r="Q67" s="5">
        <f t="shared" si="107"/>
        <v>3.9307188886665783</v>
      </c>
      <c r="R67" s="5">
        <f t="shared" si="107"/>
        <v>4.3712904542887632</v>
      </c>
      <c r="S67" s="5">
        <f t="shared" si="107"/>
        <v>4.7077444844183898</v>
      </c>
      <c r="T67" s="5">
        <f t="shared" si="107"/>
        <v>5</v>
      </c>
    </row>
    <row r="68" spans="5:20" x14ac:dyDescent="0.3">
      <c r="F68">
        <v>0</v>
      </c>
      <c r="G68">
        <v>0.2</v>
      </c>
      <c r="H68">
        <v>0.4</v>
      </c>
      <c r="I68">
        <v>0.6</v>
      </c>
      <c r="J68">
        <v>0.8</v>
      </c>
      <c r="K68">
        <v>1</v>
      </c>
      <c r="L68">
        <v>1.2</v>
      </c>
      <c r="M68">
        <v>1.4</v>
      </c>
      <c r="N68">
        <v>1.6</v>
      </c>
      <c r="O68">
        <v>1.8</v>
      </c>
      <c r="P68">
        <v>2</v>
      </c>
      <c r="Q68">
        <v>2.2000000000000002</v>
      </c>
      <c r="R68">
        <v>2.4</v>
      </c>
      <c r="S68">
        <v>2.6</v>
      </c>
      <c r="T68">
        <v>2.8</v>
      </c>
    </row>
  </sheetData>
  <mergeCells count="2">
    <mergeCell ref="W4:AL4"/>
    <mergeCell ref="W15:AL15"/>
  </mergeCells>
  <conditionalFormatting sqref="F18:T2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1:T4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T5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7:T6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2021-04-15T19:44:44Z</dcterms:modified>
</cp:coreProperties>
</file>