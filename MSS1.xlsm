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ЭтаКнига" defaultThemeVersion="124226"/>
  <bookViews>
    <workbookView xWindow="240" yWindow="108" windowWidth="14808" windowHeight="8016" activeTab="2"/>
  </bookViews>
  <sheets>
    <sheet name="Лист1" sheetId="1" r:id="rId1"/>
    <sheet name="Лист2" sheetId="2" r:id="rId2"/>
    <sheet name="Лист3" sheetId="3" r:id="rId3"/>
    <sheet name="Лист4" sheetId="4" r:id="rId4"/>
  </sheets>
  <calcPr calcId="152511"/>
</workbook>
</file>

<file path=xl/calcChain.xml><?xml version="1.0" encoding="utf-8"?>
<calcChain xmlns="http://schemas.openxmlformats.org/spreadsheetml/2006/main">
  <c r="W15" i="4" l="1"/>
  <c r="X15" i="4"/>
  <c r="Y15" i="4"/>
  <c r="Z15" i="4"/>
  <c r="AA15" i="4"/>
  <c r="AB15" i="4"/>
  <c r="AC15" i="4"/>
  <c r="AD15" i="4"/>
  <c r="AE15" i="4"/>
  <c r="AF15" i="4"/>
  <c r="AG15" i="4"/>
  <c r="AH15" i="4"/>
  <c r="AI15" i="4"/>
  <c r="AJ15" i="4"/>
  <c r="T15" i="4"/>
  <c r="F15" i="4"/>
  <c r="C3" i="4"/>
  <c r="F12" i="4" s="1"/>
  <c r="G12" i="4" s="1"/>
  <c r="H12" i="4" s="1"/>
  <c r="I12" i="4" s="1"/>
  <c r="J12" i="4" s="1"/>
  <c r="K12" i="4" s="1"/>
  <c r="L12" i="4" s="1"/>
  <c r="M12" i="4" s="1"/>
  <c r="N12" i="4" s="1"/>
  <c r="O12" i="4" s="1"/>
  <c r="P12" i="4" s="1"/>
  <c r="Q12" i="4" s="1"/>
  <c r="R12" i="4" s="1"/>
  <c r="S12" i="4" s="1"/>
  <c r="T12" i="4" s="1"/>
  <c r="W12" i="4" s="1"/>
  <c r="X12" i="4" s="1"/>
  <c r="Y12" i="4" s="1"/>
  <c r="Z12" i="4" s="1"/>
  <c r="AA12" i="4" s="1"/>
  <c r="AB12" i="4" s="1"/>
  <c r="AC12" i="4" s="1"/>
  <c r="AD12" i="4" s="1"/>
  <c r="AE12" i="4" s="1"/>
  <c r="AF12" i="4" s="1"/>
  <c r="AG12" i="4" s="1"/>
  <c r="AH12" i="4" s="1"/>
  <c r="AI12" i="4" s="1"/>
  <c r="AJ12" i="4" s="1"/>
  <c r="AK12" i="4" s="1"/>
  <c r="E13" i="3"/>
  <c r="C3" i="3"/>
  <c r="G16" i="2"/>
  <c r="H16" i="2"/>
  <c r="I16" i="2"/>
  <c r="J16" i="2"/>
  <c r="K16" i="2"/>
  <c r="L16" i="2"/>
  <c r="M16" i="2"/>
  <c r="N16" i="2"/>
  <c r="O16" i="2"/>
  <c r="P16" i="2"/>
  <c r="Q16" i="2"/>
  <c r="R16" i="2"/>
  <c r="S16" i="2"/>
  <c r="T16" i="2"/>
  <c r="U16" i="2"/>
  <c r="V16" i="2"/>
  <c r="W16" i="2"/>
  <c r="X16" i="2"/>
  <c r="Y16" i="2"/>
  <c r="Z16" i="2"/>
  <c r="AA16" i="2"/>
  <c r="AB16" i="2"/>
  <c r="AC16" i="2"/>
  <c r="AD16" i="2"/>
  <c r="AE16" i="2"/>
  <c r="AF16" i="2"/>
  <c r="AG16" i="2"/>
  <c r="AH16" i="2"/>
  <c r="E13" i="2"/>
  <c r="F16" i="2" s="1"/>
  <c r="F12" i="2"/>
  <c r="G12" i="2" s="1"/>
  <c r="H12" i="2" s="1"/>
  <c r="I12" i="2" s="1"/>
  <c r="J12" i="2" s="1"/>
  <c r="K12" i="2" s="1"/>
  <c r="L12" i="2" s="1"/>
  <c r="M12" i="2" s="1"/>
  <c r="N12" i="2" s="1"/>
  <c r="O12" i="2" s="1"/>
  <c r="P12" i="2" s="1"/>
  <c r="Q12" i="2" s="1"/>
  <c r="R12" i="2" s="1"/>
  <c r="S12" i="2" s="1"/>
  <c r="T12" i="2" s="1"/>
  <c r="U12" i="2" s="1"/>
  <c r="V12" i="2" s="1"/>
  <c r="W12" i="2" s="1"/>
  <c r="X12" i="2" s="1"/>
  <c r="Y12" i="2" s="1"/>
  <c r="Z12" i="2" s="1"/>
  <c r="AA12" i="2" s="1"/>
  <c r="AB12" i="2" s="1"/>
  <c r="AC12" i="2" s="1"/>
  <c r="AD12" i="2" s="1"/>
  <c r="AE12" i="2" s="1"/>
  <c r="AF12" i="2" s="1"/>
  <c r="AG12" i="2" s="1"/>
  <c r="AH12" i="2" s="1"/>
  <c r="AI12" i="2" s="1"/>
  <c r="C3" i="2"/>
  <c r="C4" i="2" s="1"/>
  <c r="C4" i="4" l="1"/>
  <c r="AF16" i="3"/>
  <c r="AG16" i="3"/>
  <c r="F12" i="3"/>
  <c r="G12" i="3" s="1"/>
  <c r="H12" i="3" s="1"/>
  <c r="I12" i="3" s="1"/>
  <c r="J12" i="3" s="1"/>
  <c r="K12" i="3" s="1"/>
  <c r="L12" i="3" s="1"/>
  <c r="M12" i="3" s="1"/>
  <c r="N12" i="3" s="1"/>
  <c r="O12" i="3" s="1"/>
  <c r="P12" i="3" s="1"/>
  <c r="Q12" i="3" s="1"/>
  <c r="R12" i="3" s="1"/>
  <c r="S12" i="3" s="1"/>
  <c r="T12" i="3" s="1"/>
  <c r="U12" i="3" s="1"/>
  <c r="V12" i="3" s="1"/>
  <c r="W12" i="3" s="1"/>
  <c r="X12" i="3" s="1"/>
  <c r="Y12" i="3" s="1"/>
  <c r="Z12" i="3" s="1"/>
  <c r="AA12" i="3" s="1"/>
  <c r="AB12" i="3" s="1"/>
  <c r="AC12" i="3" s="1"/>
  <c r="AD12" i="3" s="1"/>
  <c r="AE12" i="3" s="1"/>
  <c r="AF12" i="3" s="1"/>
  <c r="AG12" i="3" s="1"/>
  <c r="AH12" i="3" s="1"/>
  <c r="AI12" i="3" s="1"/>
  <c r="AH16" i="3"/>
  <c r="C4" i="3"/>
  <c r="AE15" i="2"/>
  <c r="W15" i="2"/>
  <c r="O15" i="2"/>
  <c r="G15" i="2"/>
  <c r="AD15" i="2"/>
  <c r="V15" i="2"/>
  <c r="N15" i="2"/>
  <c r="F15" i="2"/>
  <c r="AC15" i="2"/>
  <c r="U15" i="2"/>
  <c r="M15" i="2"/>
  <c r="S15" i="2"/>
  <c r="K15" i="2"/>
  <c r="Z15" i="2"/>
  <c r="J15" i="2"/>
  <c r="Y15" i="2"/>
  <c r="I15" i="2"/>
  <c r="X15" i="2"/>
  <c r="H15" i="2"/>
  <c r="AB15" i="2"/>
  <c r="T15" i="2"/>
  <c r="L15" i="2"/>
  <c r="AA15" i="2"/>
  <c r="AH15" i="2"/>
  <c r="R15" i="2"/>
  <c r="AG15" i="2"/>
  <c r="Q15" i="2"/>
  <c r="AF15" i="2"/>
  <c r="P15" i="2"/>
  <c r="F15" i="1"/>
  <c r="G15" i="1"/>
  <c r="H15" i="1"/>
  <c r="I15" i="1"/>
  <c r="J15" i="1"/>
  <c r="K15" i="1"/>
  <c r="L15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Z15" i="1"/>
  <c r="AA15" i="1"/>
  <c r="AB15" i="1"/>
  <c r="AC15" i="1"/>
  <c r="AD15" i="1"/>
  <c r="AE15" i="1"/>
  <c r="AF15" i="1"/>
  <c r="AG15" i="1"/>
  <c r="AH15" i="1"/>
  <c r="C4" i="1"/>
  <c r="G12" i="1"/>
  <c r="H12" i="1" s="1"/>
  <c r="I12" i="1" s="1"/>
  <c r="J12" i="1" s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F12" i="1"/>
  <c r="C3" i="1"/>
  <c r="P15" i="4" l="1"/>
  <c r="H15" i="4"/>
  <c r="O15" i="4"/>
  <c r="G15" i="4"/>
  <c r="N15" i="4"/>
  <c r="S15" i="4"/>
  <c r="K15" i="4"/>
  <c r="R15" i="4"/>
  <c r="J15" i="4"/>
  <c r="Q15" i="4"/>
  <c r="I15" i="4"/>
  <c r="M15" i="4"/>
  <c r="L15" i="4"/>
  <c r="X16" i="3"/>
  <c r="W16" i="3"/>
  <c r="AE16" i="3"/>
  <c r="AA16" i="3"/>
  <c r="Y16" i="3"/>
  <c r="AD16" i="3"/>
  <c r="AB16" i="3"/>
  <c r="V16" i="3"/>
  <c r="Z16" i="3"/>
  <c r="AC16" i="3"/>
  <c r="AH15" i="3"/>
  <c r="AG15" i="3"/>
  <c r="Y15" i="3"/>
  <c r="Z15" i="3"/>
  <c r="AF15" i="3"/>
  <c r="X15" i="3"/>
  <c r="AE15" i="3"/>
  <c r="W15" i="3"/>
  <c r="AD15" i="3"/>
  <c r="V15" i="3"/>
  <c r="AC15" i="3"/>
  <c r="AB15" i="3"/>
  <c r="AA15" i="3"/>
  <c r="U15" i="3" l="1"/>
  <c r="U16" i="3"/>
  <c r="S15" i="3" l="1"/>
  <c r="T15" i="3"/>
  <c r="T16" i="3"/>
  <c r="R15" i="3" l="1"/>
  <c r="S16" i="3"/>
  <c r="Q15" i="3" l="1"/>
  <c r="R16" i="3"/>
  <c r="P15" i="3" l="1"/>
  <c r="Q16" i="3"/>
  <c r="O16" i="3" l="1"/>
  <c r="P16" i="3"/>
  <c r="O15" i="3" l="1"/>
  <c r="N16" i="3"/>
  <c r="N15" i="3"/>
  <c r="M16" i="3" l="1"/>
  <c r="M15" i="3"/>
  <c r="L16" i="3" l="1"/>
  <c r="L15" i="3"/>
  <c r="K16" i="3" l="1"/>
  <c r="K15" i="3" l="1"/>
  <c r="J16" i="3"/>
  <c r="J15" i="3"/>
  <c r="I15" i="3" l="1"/>
  <c r="I16" i="3"/>
  <c r="G15" i="3" l="1"/>
  <c r="H15" i="3"/>
  <c r="H16" i="3"/>
  <c r="G16" i="3" l="1"/>
  <c r="F16" i="3"/>
  <c r="F15" i="3" l="1"/>
</calcChain>
</file>

<file path=xl/sharedStrings.xml><?xml version="1.0" encoding="utf-8"?>
<sst xmlns="http://schemas.openxmlformats.org/spreadsheetml/2006/main" count="56" uniqueCount="18">
  <si>
    <t>l</t>
  </si>
  <si>
    <t>dx</t>
  </si>
  <si>
    <t>dt</t>
  </si>
  <si>
    <t>t</t>
  </si>
  <si>
    <t>Cp</t>
  </si>
  <si>
    <t>ro</t>
  </si>
  <si>
    <t>lambda</t>
  </si>
  <si>
    <t>T</t>
  </si>
  <si>
    <t>T_end</t>
  </si>
  <si>
    <t>T_start</t>
  </si>
  <si>
    <t>t_iter</t>
  </si>
  <si>
    <t>алюминий сталь для граничного условия 4 рода</t>
  </si>
  <si>
    <t>q_start</t>
  </si>
  <si>
    <t>q</t>
  </si>
  <si>
    <t>alpha</t>
  </si>
  <si>
    <t>T_gas</t>
  </si>
  <si>
    <t>lambda1</t>
  </si>
  <si>
    <t>lambda2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</si>
</sst>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1" xfId="0" applyBorder="1"/>
    <xf numFmtId="2" fontId="0" fillId="0" borderId="1" xfId="0" applyNumberFormat="1" applyBorder="1"/>
    <xf numFmtId="164" fontId="0" fillId="0" borderId="1" xfId="0" applyNumberFormat="1" applyBorder="1"/>
  </cellXfs>
  <cellStyles count="1">
    <cellStyle name="Обычный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Лист1!$E$12:$AI$12</c:f>
              <c:numCache>
                <c:formatCode>0.000</c:formatCode>
                <c:ptCount val="31"/>
                <c:pt idx="0" formatCode="0.0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Лист1!$E$13:$AI$13</c:f>
              <c:numCache>
                <c:formatCode>General</c:formatCode>
                <c:ptCount val="31"/>
                <c:pt idx="0">
                  <c:v>300</c:v>
                </c:pt>
                <c:pt idx="1">
                  <c:v>280.34602914679897</c:v>
                </c:pt>
                <c:pt idx="2">
                  <c:v>261.01895071136693</c:v>
                </c:pt>
                <c:pt idx="3">
                  <c:v>241.69187227593488</c:v>
                </c:pt>
                <c:pt idx="4">
                  <c:v>223.32288929753321</c:v>
                </c:pt>
                <c:pt idx="5">
                  <c:v>204.95390631913145</c:v>
                </c:pt>
                <c:pt idx="6">
                  <c:v>188.10922208123708</c:v>
                </c:pt>
                <c:pt idx="7">
                  <c:v>171.26453784334268</c:v>
                </c:pt>
                <c:pt idx="8">
                  <c:v>156.41062560854434</c:v>
                </c:pt>
                <c:pt idx="9">
                  <c:v>141.55671337374596</c:v>
                </c:pt>
                <c:pt idx="10">
                  <c:v>129.0367150615379</c:v>
                </c:pt>
                <c:pt idx="11">
                  <c:v>116.51671674932982</c:v>
                </c:pt>
                <c:pt idx="12">
                  <c:v>106.53935305104244</c:v>
                </c:pt>
                <c:pt idx="13">
                  <c:v>96.561989352755049</c:v>
                </c:pt>
                <c:pt idx="14">
                  <c:v>89.202264063403447</c:v>
                </c:pt>
                <c:pt idx="15">
                  <c:v>81.842538774051832</c:v>
                </c:pt>
                <c:pt idx="16">
                  <c:v>77.051862944328036</c:v>
                </c:pt>
                <c:pt idx="17">
                  <c:v>72.26118711460424</c:v>
                </c:pt>
                <c:pt idx="18">
                  <c:v>69.883647818529624</c:v>
                </c:pt>
                <c:pt idx="19">
                  <c:v>67.506108522455037</c:v>
                </c:pt>
                <c:pt idx="20">
                  <c:v>67.297535274227698</c:v>
                </c:pt>
                <c:pt idx="21">
                  <c:v>67.088962026000345</c:v>
                </c:pt>
                <c:pt idx="22">
                  <c:v>68.736044613043219</c:v>
                </c:pt>
                <c:pt idx="23">
                  <c:v>70.383127200086093</c:v>
                </c:pt>
                <c:pt idx="24">
                  <c:v>73.520809538578931</c:v>
                </c:pt>
                <c:pt idx="25">
                  <c:v>76.658491877071754</c:v>
                </c:pt>
                <c:pt idx="26">
                  <c:v>80.884877873958871</c:v>
                </c:pt>
                <c:pt idx="27">
                  <c:v>85.111263870845988</c:v>
                </c:pt>
                <c:pt idx="28">
                  <c:v>90.000074948392268</c:v>
                </c:pt>
                <c:pt idx="29">
                  <c:v>94.888886025938547</c:v>
                </c:pt>
                <c:pt idx="30">
                  <c:v>100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35795552"/>
        <c:axId val="-235799360"/>
      </c:scatterChart>
      <c:valAx>
        <c:axId val="-235795552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235799360"/>
        <c:crosses val="autoZero"/>
        <c:crossBetween val="midCat"/>
      </c:valAx>
      <c:valAx>
        <c:axId val="-235799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235795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Лист2!$E$12:$AI$12</c:f>
              <c:numCache>
                <c:formatCode>0.000</c:formatCode>
                <c:ptCount val="31"/>
                <c:pt idx="0" formatCode="0.0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Лист2!$E$13:$AI$13</c:f>
              <c:numCache>
                <c:formatCode>General</c:formatCode>
                <c:ptCount val="31"/>
                <c:pt idx="0">
                  <c:v>299.99997763108769</c:v>
                </c:pt>
                <c:pt idx="1">
                  <c:v>293.333310964421</c:v>
                </c:pt>
                <c:pt idx="2">
                  <c:v>286.6666443611611</c:v>
                </c:pt>
                <c:pt idx="3">
                  <c:v>279.99997782112894</c:v>
                </c:pt>
                <c:pt idx="4">
                  <c:v>273.33331134396514</c:v>
                </c:pt>
                <c:pt idx="5">
                  <c:v>266.66664492913264</c:v>
                </c:pt>
                <c:pt idx="6">
                  <c:v>259.99997857591751</c:v>
                </c:pt>
                <c:pt idx="7">
                  <c:v>253.3333122834313</c:v>
                </c:pt>
                <c:pt idx="8">
                  <c:v>246.66664605061328</c:v>
                </c:pt>
                <c:pt idx="9">
                  <c:v>239.99997987623377</c:v>
                </c:pt>
                <c:pt idx="10">
                  <c:v>233.33331375889719</c:v>
                </c:pt>
                <c:pt idx="11">
                  <c:v>226.66664769704656</c:v>
                </c:pt>
                <c:pt idx="12">
                  <c:v>219.9999816889673</c:v>
                </c:pt>
                <c:pt idx="13">
                  <c:v>213.33331573279273</c:v>
                </c:pt>
                <c:pt idx="14">
                  <c:v>206.66664982650872</c:v>
                </c:pt>
                <c:pt idx="15">
                  <c:v>199.99998396796005</c:v>
                </c:pt>
                <c:pt idx="16">
                  <c:v>193.33331815485587</c:v>
                </c:pt>
                <c:pt idx="17">
                  <c:v>186.6666523847768</c:v>
                </c:pt>
                <c:pt idx="18">
                  <c:v>179.99998665518126</c:v>
                </c:pt>
                <c:pt idx="19">
                  <c:v>173.33332096341309</c:v>
                </c:pt>
                <c:pt idx="20">
                  <c:v>166.66665530670878</c:v>
                </c:pt>
                <c:pt idx="21">
                  <c:v>159.9999896822055</c:v>
                </c:pt>
                <c:pt idx="22">
                  <c:v>153.33332408694912</c:v>
                </c:pt>
                <c:pt idx="23">
                  <c:v>146.66665851790265</c:v>
                </c:pt>
                <c:pt idx="24">
                  <c:v>139.99999297195473</c:v>
                </c:pt>
                <c:pt idx="25">
                  <c:v>133.33332744592857</c:v>
                </c:pt>
                <c:pt idx="26">
                  <c:v>126.66666193659087</c:v>
                </c:pt>
                <c:pt idx="27">
                  <c:v>119.99999644066111</c:v>
                </c:pt>
                <c:pt idx="28">
                  <c:v>113.3333309548207</c:v>
                </c:pt>
                <c:pt idx="29">
                  <c:v>106.66666547572241</c:v>
                </c:pt>
                <c:pt idx="30">
                  <c:v>100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35798816"/>
        <c:axId val="-235796096"/>
      </c:scatterChart>
      <c:valAx>
        <c:axId val="-2357988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235796096"/>
        <c:crosses val="autoZero"/>
        <c:crossBetween val="midCat"/>
      </c:valAx>
      <c:valAx>
        <c:axId val="-235796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2357988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Лист3!$E$12:$AI$12</c:f>
              <c:numCache>
                <c:formatCode>0.000</c:formatCode>
                <c:ptCount val="31"/>
                <c:pt idx="0" formatCode="0.0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Лист3!$E$13:$AI$13</c:f>
              <c:numCache>
                <c:formatCode>General</c:formatCode>
                <c:ptCount val="31"/>
                <c:pt idx="0">
                  <c:v>299.99671759750413</c:v>
                </c:pt>
                <c:pt idx="1">
                  <c:v>293.33015938802771</c:v>
                </c:pt>
                <c:pt idx="2">
                  <c:v>286.66360125547305</c:v>
                </c:pt>
                <c:pt idx="3">
                  <c:v>279.99704320041349</c:v>
                </c:pt>
                <c:pt idx="4">
                  <c:v>273.33048522314834</c:v>
                </c:pt>
                <c:pt idx="5">
                  <c:v>266.66392732370167</c:v>
                </c:pt>
                <c:pt idx="6">
                  <c:v>259.99736950182262</c:v>
                </c:pt>
                <c:pt idx="7">
                  <c:v>253.33081175698584</c:v>
                </c:pt>
                <c:pt idx="8">
                  <c:v>246.66425408839373</c:v>
                </c:pt>
                <c:pt idx="9">
                  <c:v>239.99769649497904</c:v>
                </c:pt>
                <c:pt idx="10">
                  <c:v>233.33113897540869</c:v>
                </c:pt>
                <c:pt idx="11">
                  <c:v>226.66458152808843</c:v>
                </c:pt>
                <c:pt idx="12">
                  <c:v>219.99802415116869</c:v>
                </c:pt>
                <c:pt idx="13">
                  <c:v>213.33146684255081</c:v>
                </c:pt>
                <c:pt idx="14">
                  <c:v>206.66490959989468</c:v>
                </c:pt>
                <c:pt idx="15">
                  <c:v>199.99835242062699</c:v>
                </c:pt>
                <c:pt idx="16">
                  <c:v>193.33179530195025</c:v>
                </c:pt>
                <c:pt idx="17">
                  <c:v>186.66523824085272</c:v>
                </c:pt>
                <c:pt idx="18">
                  <c:v>179.99868123411903</c:v>
                </c:pt>
                <c:pt idx="19">
                  <c:v>173.33212427834172</c:v>
                </c:pt>
                <c:pt idx="20">
                  <c:v>166.665567369933</c:v>
                </c:pt>
                <c:pt idx="21">
                  <c:v>159.99901050513768</c:v>
                </c:pt>
                <c:pt idx="22">
                  <c:v>153.33245368004629</c:v>
                </c:pt>
                <c:pt idx="23">
                  <c:v>146.66589689060902</c:v>
                </c:pt>
                <c:pt idx="24">
                  <c:v>139.99934013264996</c:v>
                </c:pt>
                <c:pt idx="25">
                  <c:v>133.3327834018819</c:v>
                </c:pt>
                <c:pt idx="26">
                  <c:v>126.66622669392154</c:v>
                </c:pt>
                <c:pt idx="27">
                  <c:v>119.9996700043048</c:v>
                </c:pt>
                <c:pt idx="28">
                  <c:v>113.3331133285029</c:v>
                </c:pt>
                <c:pt idx="29">
                  <c:v>106.66655666193807</c:v>
                </c:pt>
                <c:pt idx="30">
                  <c:v>100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35786848"/>
        <c:axId val="-235802080"/>
      </c:scatterChart>
      <c:valAx>
        <c:axId val="-235786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235802080"/>
        <c:crosses val="autoZero"/>
        <c:crossBetween val="midCat"/>
      </c:valAx>
      <c:valAx>
        <c:axId val="-235802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235786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161925</xdr:colOff>
      <xdr:row>22</xdr:row>
      <xdr:rowOff>38100</xdr:rowOff>
    </xdr:from>
    <xdr:to>
      <xdr:col>24</xdr:col>
      <xdr:colOff>276225</xdr:colOff>
      <xdr:row>37</xdr:row>
      <xdr:rowOff>66675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511628</xdr:colOff>
      <xdr:row>22</xdr:row>
      <xdr:rowOff>32658</xdr:rowOff>
    </xdr:from>
    <xdr:to>
      <xdr:col>23</xdr:col>
      <xdr:colOff>206828</xdr:colOff>
      <xdr:row>37</xdr:row>
      <xdr:rowOff>1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587828</xdr:colOff>
      <xdr:row>20</xdr:row>
      <xdr:rowOff>130629</xdr:rowOff>
    </xdr:from>
    <xdr:to>
      <xdr:col>23</xdr:col>
      <xdr:colOff>283028</xdr:colOff>
      <xdr:row>35</xdr:row>
      <xdr:rowOff>97972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2:AI15"/>
  <sheetViews>
    <sheetView zoomScale="80" zoomScaleNormal="80" workbookViewId="0">
      <selection activeCell="Y21" sqref="Y21"/>
    </sheetView>
  </sheetViews>
  <sheetFormatPr defaultRowHeight="14.4" x14ac:dyDescent="0.3"/>
  <cols>
    <col min="5" max="5" width="4.44140625" bestFit="1" customWidth="1"/>
    <col min="6" max="35" width="5.44140625" bestFit="1" customWidth="1"/>
  </cols>
  <sheetData>
    <row r="2" spans="1:35" x14ac:dyDescent="0.3">
      <c r="B2" s="1" t="s">
        <v>0</v>
      </c>
      <c r="C2" s="1">
        <v>0.1</v>
      </c>
    </row>
    <row r="3" spans="1:35" x14ac:dyDescent="0.3">
      <c r="B3" s="1" t="s">
        <v>1</v>
      </c>
      <c r="C3" s="1">
        <f>C2/30</f>
        <v>3.3333333333333335E-3</v>
      </c>
      <c r="L3" t="s">
        <v>11</v>
      </c>
    </row>
    <row r="4" spans="1:35" x14ac:dyDescent="0.3">
      <c r="B4" s="1" t="s">
        <v>2</v>
      </c>
      <c r="C4" s="1">
        <f>(C8*C7*C3^2)/(2*C9)</f>
        <v>0.4333333333333334</v>
      </c>
    </row>
    <row r="5" spans="1:35" x14ac:dyDescent="0.3">
      <c r="B5" s="1" t="s">
        <v>3</v>
      </c>
      <c r="C5" s="1">
        <v>60</v>
      </c>
      <c r="D5">
        <v>60.233333333333341</v>
      </c>
    </row>
    <row r="6" spans="1:35" x14ac:dyDescent="0.3">
      <c r="B6" s="1"/>
      <c r="C6" s="1"/>
    </row>
    <row r="7" spans="1:35" x14ac:dyDescent="0.3">
      <c r="B7" s="1" t="s">
        <v>4</v>
      </c>
      <c r="C7" s="1">
        <v>460</v>
      </c>
    </row>
    <row r="8" spans="1:35" x14ac:dyDescent="0.3">
      <c r="B8" s="1" t="s">
        <v>5</v>
      </c>
      <c r="C8" s="1">
        <v>7800</v>
      </c>
    </row>
    <row r="9" spans="1:35" x14ac:dyDescent="0.3">
      <c r="B9" s="1" t="s">
        <v>6</v>
      </c>
      <c r="C9" s="1">
        <v>46</v>
      </c>
    </row>
    <row r="10" spans="1:35" x14ac:dyDescent="0.3">
      <c r="B10" s="1"/>
      <c r="C10" s="1"/>
    </row>
    <row r="11" spans="1:35" x14ac:dyDescent="0.3">
      <c r="B11" s="1" t="s">
        <v>9</v>
      </c>
      <c r="C11" s="1">
        <v>300</v>
      </c>
      <c r="E11" s="1">
        <v>1</v>
      </c>
      <c r="F11" s="1">
        <v>2</v>
      </c>
      <c r="G11" s="1">
        <v>3</v>
      </c>
      <c r="H11" s="1">
        <v>4</v>
      </c>
      <c r="I11" s="1">
        <v>5</v>
      </c>
      <c r="J11" s="1">
        <v>6</v>
      </c>
      <c r="K11" s="1">
        <v>7</v>
      </c>
      <c r="L11" s="1">
        <v>8</v>
      </c>
      <c r="M11" s="1">
        <v>9</v>
      </c>
      <c r="N11" s="1">
        <v>10</v>
      </c>
      <c r="O11" s="1">
        <v>11</v>
      </c>
      <c r="P11" s="1">
        <v>12</v>
      </c>
      <c r="Q11" s="1">
        <v>13</v>
      </c>
      <c r="R11" s="1">
        <v>14</v>
      </c>
      <c r="S11" s="1">
        <v>15</v>
      </c>
      <c r="T11" s="1">
        <v>16</v>
      </c>
      <c r="U11" s="1">
        <v>17</v>
      </c>
      <c r="V11" s="1">
        <v>18</v>
      </c>
      <c r="W11" s="1">
        <v>19</v>
      </c>
      <c r="X11" s="1">
        <v>20</v>
      </c>
      <c r="Y11" s="1">
        <v>21</v>
      </c>
      <c r="Z11" s="1">
        <v>22</v>
      </c>
      <c r="AA11" s="1">
        <v>23</v>
      </c>
      <c r="AB11" s="1">
        <v>24</v>
      </c>
      <c r="AC11" s="1">
        <v>25</v>
      </c>
      <c r="AD11" s="1">
        <v>26</v>
      </c>
      <c r="AE11" s="1">
        <v>27</v>
      </c>
      <c r="AF11" s="1">
        <v>28</v>
      </c>
      <c r="AG11" s="1">
        <v>29</v>
      </c>
      <c r="AH11" s="1">
        <v>30</v>
      </c>
      <c r="AI11" s="1">
        <v>31</v>
      </c>
    </row>
    <row r="12" spans="1:35" x14ac:dyDescent="0.3">
      <c r="B12" s="1" t="s">
        <v>8</v>
      </c>
      <c r="C12" s="1">
        <v>100</v>
      </c>
      <c r="D12" t="s">
        <v>0</v>
      </c>
      <c r="E12" s="2">
        <v>0</v>
      </c>
      <c r="F12" s="3">
        <f>E12+$C$3</f>
        <v>3.3333333333333335E-3</v>
      </c>
      <c r="G12" s="3">
        <f t="shared" ref="G12:AI12" si="0">F12+$C$3</f>
        <v>6.6666666666666671E-3</v>
      </c>
      <c r="H12" s="3">
        <f t="shared" si="0"/>
        <v>0.01</v>
      </c>
      <c r="I12" s="3">
        <f t="shared" si="0"/>
        <v>1.3333333333333334E-2</v>
      </c>
      <c r="J12" s="3">
        <f t="shared" si="0"/>
        <v>1.6666666666666666E-2</v>
      </c>
      <c r="K12" s="3">
        <f t="shared" si="0"/>
        <v>0.02</v>
      </c>
      <c r="L12" s="3">
        <f t="shared" si="0"/>
        <v>2.3333333333333334E-2</v>
      </c>
      <c r="M12" s="3">
        <f t="shared" si="0"/>
        <v>2.6666666666666668E-2</v>
      </c>
      <c r="N12" s="3">
        <f t="shared" si="0"/>
        <v>3.0000000000000002E-2</v>
      </c>
      <c r="O12" s="3">
        <f t="shared" si="0"/>
        <v>3.3333333333333333E-2</v>
      </c>
      <c r="P12" s="3">
        <f t="shared" si="0"/>
        <v>3.6666666666666667E-2</v>
      </c>
      <c r="Q12" s="3">
        <f t="shared" si="0"/>
        <v>0.04</v>
      </c>
      <c r="R12" s="3">
        <f t="shared" si="0"/>
        <v>4.3333333333333335E-2</v>
      </c>
      <c r="S12" s="3">
        <f t="shared" si="0"/>
        <v>4.6666666666666669E-2</v>
      </c>
      <c r="T12" s="3">
        <f t="shared" si="0"/>
        <v>0.05</v>
      </c>
      <c r="U12" s="3">
        <f t="shared" si="0"/>
        <v>5.3333333333333337E-2</v>
      </c>
      <c r="V12" s="3">
        <f t="shared" si="0"/>
        <v>5.6666666666666671E-2</v>
      </c>
      <c r="W12" s="3">
        <f t="shared" si="0"/>
        <v>6.0000000000000005E-2</v>
      </c>
      <c r="X12" s="3">
        <f t="shared" si="0"/>
        <v>6.3333333333333339E-2</v>
      </c>
      <c r="Y12" s="3">
        <f t="shared" si="0"/>
        <v>6.6666666666666666E-2</v>
      </c>
      <c r="Z12" s="3">
        <f t="shared" si="0"/>
        <v>6.9999999999999993E-2</v>
      </c>
      <c r="AA12" s="3">
        <f t="shared" si="0"/>
        <v>7.333333333333332E-2</v>
      </c>
      <c r="AB12" s="3">
        <f t="shared" si="0"/>
        <v>7.6666666666666647E-2</v>
      </c>
      <c r="AC12" s="3">
        <f t="shared" si="0"/>
        <v>7.9999999999999974E-2</v>
      </c>
      <c r="AD12" s="3">
        <f t="shared" si="0"/>
        <v>8.3333333333333301E-2</v>
      </c>
      <c r="AE12" s="3">
        <f t="shared" si="0"/>
        <v>8.6666666666666628E-2</v>
      </c>
      <c r="AF12" s="3">
        <f t="shared" si="0"/>
        <v>8.9999999999999955E-2</v>
      </c>
      <c r="AG12" s="3">
        <f t="shared" si="0"/>
        <v>9.3333333333333282E-2</v>
      </c>
      <c r="AH12" s="3">
        <f t="shared" si="0"/>
        <v>9.6666666666666609E-2</v>
      </c>
      <c r="AI12" s="3">
        <f t="shared" si="0"/>
        <v>9.9999999999999936E-2</v>
      </c>
    </row>
    <row r="13" spans="1:35" x14ac:dyDescent="0.3">
      <c r="D13" t="s">
        <v>7</v>
      </c>
      <c r="E13">
        <v>300</v>
      </c>
      <c r="F13">
        <v>280.34602914679897</v>
      </c>
      <c r="G13">
        <v>261.01895071136693</v>
      </c>
      <c r="H13">
        <v>241.69187227593488</v>
      </c>
      <c r="I13">
        <v>223.32288929753321</v>
      </c>
      <c r="J13">
        <v>204.95390631913145</v>
      </c>
      <c r="K13">
        <v>188.10922208123708</v>
      </c>
      <c r="L13">
        <v>171.26453784334268</v>
      </c>
      <c r="M13">
        <v>156.41062560854434</v>
      </c>
      <c r="N13">
        <v>141.55671337374596</v>
      </c>
      <c r="O13">
        <v>129.0367150615379</v>
      </c>
      <c r="P13">
        <v>116.51671674932982</v>
      </c>
      <c r="Q13">
        <v>106.53935305104244</v>
      </c>
      <c r="R13">
        <v>96.561989352755049</v>
      </c>
      <c r="S13">
        <v>89.202264063403447</v>
      </c>
      <c r="T13">
        <v>81.842538774051832</v>
      </c>
      <c r="U13">
        <v>77.051862944328036</v>
      </c>
      <c r="V13">
        <v>72.26118711460424</v>
      </c>
      <c r="W13">
        <v>69.883647818529624</v>
      </c>
      <c r="X13">
        <v>67.506108522455037</v>
      </c>
      <c r="Y13">
        <v>67.297535274227698</v>
      </c>
      <c r="Z13">
        <v>67.088962026000345</v>
      </c>
      <c r="AA13">
        <v>68.736044613043219</v>
      </c>
      <c r="AB13">
        <v>70.383127200086093</v>
      </c>
      <c r="AC13">
        <v>73.520809538578931</v>
      </c>
      <c r="AD13">
        <v>76.658491877071754</v>
      </c>
      <c r="AE13">
        <v>80.884877873958871</v>
      </c>
      <c r="AF13">
        <v>85.111263870845988</v>
      </c>
      <c r="AG13">
        <v>90.000074948392268</v>
      </c>
      <c r="AH13">
        <v>94.888886025938547</v>
      </c>
      <c r="AI13">
        <v>100</v>
      </c>
    </row>
    <row r="14" spans="1:35" x14ac:dyDescent="0.3">
      <c r="A14" t="s">
        <v>10</v>
      </c>
    </row>
    <row r="15" spans="1:35" x14ac:dyDescent="0.3">
      <c r="F15">
        <f>F13+($C$9*$C$4/($C$8*$C$7))*((G13-2*F13+E13)/$C$3^2)</f>
        <v>280.50947535568343</v>
      </c>
      <c r="G15">
        <f t="shared" ref="G15:AH15" si="1">G13+($C$9*$C$4/($C$8*$C$7))*((H13-2*G13+F13)/$C$3^2)</f>
        <v>261.01895071136693</v>
      </c>
      <c r="H15">
        <f t="shared" si="1"/>
        <v>242.17092000445007</v>
      </c>
      <c r="I15">
        <f t="shared" si="1"/>
        <v>223.32288929753315</v>
      </c>
      <c r="J15">
        <f t="shared" si="1"/>
        <v>205.71605568938514</v>
      </c>
      <c r="K15">
        <f t="shared" si="1"/>
        <v>188.10922208123708</v>
      </c>
      <c r="L15">
        <f t="shared" si="1"/>
        <v>172.25992384489069</v>
      </c>
      <c r="M15">
        <f t="shared" si="1"/>
        <v>156.41062560854431</v>
      </c>
      <c r="N15">
        <f t="shared" si="1"/>
        <v>142.72367033504111</v>
      </c>
      <c r="O15">
        <f t="shared" si="1"/>
        <v>129.0367150615379</v>
      </c>
      <c r="P15">
        <f t="shared" si="1"/>
        <v>117.78803405629017</v>
      </c>
      <c r="Q15">
        <f t="shared" si="1"/>
        <v>106.53935305104244</v>
      </c>
      <c r="R15">
        <f t="shared" si="1"/>
        <v>97.870808557222944</v>
      </c>
      <c r="S15">
        <f t="shared" si="1"/>
        <v>89.202264063403447</v>
      </c>
      <c r="T15">
        <f t="shared" si="1"/>
        <v>83.127063503865742</v>
      </c>
      <c r="U15">
        <f t="shared" si="1"/>
        <v>77.051862944328036</v>
      </c>
      <c r="V15">
        <f t="shared" si="1"/>
        <v>73.46775538142883</v>
      </c>
      <c r="W15">
        <f t="shared" si="1"/>
        <v>69.883647818529639</v>
      </c>
      <c r="X15">
        <f t="shared" si="1"/>
        <v>68.590591546378661</v>
      </c>
      <c r="Y15">
        <f t="shared" si="1"/>
        <v>67.297535274227698</v>
      </c>
      <c r="Z15">
        <f t="shared" si="1"/>
        <v>68.016789943635459</v>
      </c>
      <c r="AA15">
        <f t="shared" si="1"/>
        <v>68.736044613043219</v>
      </c>
      <c r="AB15">
        <f t="shared" si="1"/>
        <v>71.128427075811075</v>
      </c>
      <c r="AC15">
        <f t="shared" si="1"/>
        <v>73.520809538578931</v>
      </c>
      <c r="AD15">
        <f t="shared" si="1"/>
        <v>77.202843706268908</v>
      </c>
      <c r="AE15">
        <f t="shared" si="1"/>
        <v>80.884877873958871</v>
      </c>
      <c r="AF15">
        <f t="shared" si="1"/>
        <v>85.442476411175562</v>
      </c>
      <c r="AG15">
        <f t="shared" si="1"/>
        <v>90.000074948392268</v>
      </c>
      <c r="AH15">
        <f t="shared" si="1"/>
        <v>95.000037474196134</v>
      </c>
    </row>
  </sheetData>
  <conditionalFormatting sqref="E13:AI13">
    <cfRule type="colorScale" priority="1">
      <colorScale>
        <cfvo type="min"/>
        <cfvo type="max"/>
        <color theme="4"/>
        <color rgb="FFFF0000"/>
      </colorScale>
    </cfRule>
  </conditionalFormatting>
  <pageMargins left="0.7" right="0.7" top="0.75" bottom="0.75" header="0.3" footer="0.3"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Лист1!E12:E12</xm:f>
              <xm:sqref>E13</xm:sqref>
            </x14:sparkline>
            <x14:sparkline>
              <xm:f>Лист1!F12:F12</xm:f>
              <xm:sqref>F13</xm:sqref>
            </x14:sparkline>
            <x14:sparkline>
              <xm:f>Лист1!G12:G12</xm:f>
              <xm:sqref>G13</xm:sqref>
            </x14:sparkline>
            <x14:sparkline>
              <xm:f>Лист1!H12:H12</xm:f>
              <xm:sqref>H13</xm:sqref>
            </x14:sparkline>
            <x14:sparkline>
              <xm:f>Лист1!I12:I12</xm:f>
              <xm:sqref>I13</xm:sqref>
            </x14:sparkline>
            <x14:sparkline>
              <xm:f>Лист1!J12:J12</xm:f>
              <xm:sqref>J13</xm:sqref>
            </x14:sparkline>
            <x14:sparkline>
              <xm:f>Лист1!K12:K12</xm:f>
              <xm:sqref>K13</xm:sqref>
            </x14:sparkline>
            <x14:sparkline>
              <xm:f>Лист1!L12:L12</xm:f>
              <xm:sqref>L13</xm:sqref>
            </x14:sparkline>
            <x14:sparkline>
              <xm:f>Лист1!M12:M12</xm:f>
              <xm:sqref>M13</xm:sqref>
            </x14:sparkline>
            <x14:sparkline>
              <xm:f>Лист1!N12:N12</xm:f>
              <xm:sqref>N13</xm:sqref>
            </x14:sparkline>
            <x14:sparkline>
              <xm:f>Лист1!O12:O12</xm:f>
              <xm:sqref>O13</xm:sqref>
            </x14:sparkline>
            <x14:sparkline>
              <xm:f>Лист1!P12:P12</xm:f>
              <xm:sqref>P13</xm:sqref>
            </x14:sparkline>
            <x14:sparkline>
              <xm:f>Лист1!Q12:Q12</xm:f>
              <xm:sqref>Q13</xm:sqref>
            </x14:sparkline>
            <x14:sparkline>
              <xm:f>Лист1!R12:R12</xm:f>
              <xm:sqref>R13</xm:sqref>
            </x14:sparkline>
            <x14:sparkline>
              <xm:f>Лист1!S12:S12</xm:f>
              <xm:sqref>S13</xm:sqref>
            </x14:sparkline>
            <x14:sparkline>
              <xm:f>Лист1!T12:T12</xm:f>
              <xm:sqref>T13</xm:sqref>
            </x14:sparkline>
            <x14:sparkline>
              <xm:f>Лист1!U12:U12</xm:f>
              <xm:sqref>U13</xm:sqref>
            </x14:sparkline>
            <x14:sparkline>
              <xm:f>Лист1!V12:V12</xm:f>
              <xm:sqref>V13</xm:sqref>
            </x14:sparkline>
            <x14:sparkline>
              <xm:f>Лист1!W12:W12</xm:f>
              <xm:sqref>W13</xm:sqref>
            </x14:sparkline>
            <x14:sparkline>
              <xm:f>Лист1!X12:X12</xm:f>
              <xm:sqref>X13</xm:sqref>
            </x14:sparkline>
            <x14:sparkline>
              <xm:f>Лист1!Y12:Y12</xm:f>
              <xm:sqref>Y13</xm:sqref>
            </x14:sparkline>
            <x14:sparkline>
              <xm:f>Лист1!Z12:Z12</xm:f>
              <xm:sqref>Z13</xm:sqref>
            </x14:sparkline>
            <x14:sparkline>
              <xm:f>Лист1!AA12:AA12</xm:f>
              <xm:sqref>AA13</xm:sqref>
            </x14:sparkline>
            <x14:sparkline>
              <xm:f>Лист1!AB12:AB12</xm:f>
              <xm:sqref>AB13</xm:sqref>
            </x14:sparkline>
            <x14:sparkline>
              <xm:f>Лист1!AC12:AC12</xm:f>
              <xm:sqref>AC13</xm:sqref>
            </x14:sparkline>
            <x14:sparkline>
              <xm:f>Лист1!AD12:AD12</xm:f>
              <xm:sqref>AD13</xm:sqref>
            </x14:sparkline>
            <x14:sparkline>
              <xm:f>Лист1!AE12:AE12</xm:f>
              <xm:sqref>AE13</xm:sqref>
            </x14:sparkline>
            <x14:sparkline>
              <xm:f>Лист1!AF12:AF12</xm:f>
              <xm:sqref>AF13</xm:sqref>
            </x14:sparkline>
            <x14:sparkline>
              <xm:f>Лист1!AG12:AG12</xm:f>
              <xm:sqref>AG13</xm:sqref>
            </x14:sparkline>
            <x14:sparkline>
              <xm:f>Лист1!AH12:AH12</xm:f>
              <xm:sqref>AH13</xm:sqref>
            </x14:sparkline>
            <x14:sparkline>
              <xm:f>Лист1!AI12:AI12</xm:f>
              <xm:sqref>AI13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AI16"/>
  <sheetViews>
    <sheetView zoomScale="62" zoomScaleNormal="62" workbookViewId="0">
      <selection activeCell="E26" sqref="E26"/>
    </sheetView>
  </sheetViews>
  <sheetFormatPr defaultRowHeight="14.4" x14ac:dyDescent="0.3"/>
  <sheetData>
    <row r="2" spans="2:35" x14ac:dyDescent="0.3">
      <c r="B2" s="1" t="s">
        <v>0</v>
      </c>
      <c r="C2" s="1">
        <v>0.1</v>
      </c>
    </row>
    <row r="3" spans="2:35" x14ac:dyDescent="0.3">
      <c r="B3" s="1" t="s">
        <v>1</v>
      </c>
      <c r="C3" s="1">
        <f>C2/30</f>
        <v>3.3333333333333335E-3</v>
      </c>
      <c r="L3" t="s">
        <v>11</v>
      </c>
    </row>
    <row r="4" spans="2:35" x14ac:dyDescent="0.3">
      <c r="B4" s="1" t="s">
        <v>2</v>
      </c>
      <c r="C4" s="1">
        <f>(C8*C7*C3^2)/(2*C9)</f>
        <v>0.4333333333333334</v>
      </c>
    </row>
    <row r="5" spans="2:35" x14ac:dyDescent="0.3">
      <c r="B5" s="1" t="s">
        <v>3</v>
      </c>
      <c r="C5" s="1">
        <v>5000</v>
      </c>
      <c r="D5">
        <v>5000.2333333333345</v>
      </c>
    </row>
    <row r="6" spans="2:35" x14ac:dyDescent="0.3">
      <c r="B6" s="1"/>
      <c r="C6" s="1"/>
    </row>
    <row r="7" spans="2:35" x14ac:dyDescent="0.3">
      <c r="B7" s="1" t="s">
        <v>4</v>
      </c>
      <c r="C7" s="1">
        <v>460</v>
      </c>
    </row>
    <row r="8" spans="2:35" x14ac:dyDescent="0.3">
      <c r="B8" s="1" t="s">
        <v>5</v>
      </c>
      <c r="C8" s="1">
        <v>7800</v>
      </c>
    </row>
    <row r="9" spans="2:35" x14ac:dyDescent="0.3">
      <c r="B9" s="1" t="s">
        <v>6</v>
      </c>
      <c r="C9" s="1">
        <v>46</v>
      </c>
    </row>
    <row r="10" spans="2:35" x14ac:dyDescent="0.3">
      <c r="B10" s="1"/>
      <c r="C10" s="1"/>
    </row>
    <row r="11" spans="2:35" x14ac:dyDescent="0.3">
      <c r="B11" s="1" t="s">
        <v>12</v>
      </c>
      <c r="C11" s="1">
        <v>92000</v>
      </c>
      <c r="E11" s="1">
        <v>1</v>
      </c>
      <c r="F11" s="1">
        <v>2</v>
      </c>
      <c r="G11" s="1">
        <v>3</v>
      </c>
      <c r="H11" s="1">
        <v>4</v>
      </c>
      <c r="I11" s="1">
        <v>5</v>
      </c>
      <c r="J11" s="1">
        <v>6</v>
      </c>
      <c r="K11" s="1">
        <v>7</v>
      </c>
      <c r="L11" s="1">
        <v>8</v>
      </c>
      <c r="M11" s="1">
        <v>9</v>
      </c>
      <c r="N11" s="1">
        <v>10</v>
      </c>
      <c r="O11" s="1">
        <v>11</v>
      </c>
      <c r="P11" s="1">
        <v>12</v>
      </c>
      <c r="Q11" s="1">
        <v>13</v>
      </c>
      <c r="R11" s="1">
        <v>14</v>
      </c>
      <c r="S11" s="1">
        <v>15</v>
      </c>
      <c r="T11" s="1">
        <v>16</v>
      </c>
      <c r="U11" s="1">
        <v>17</v>
      </c>
      <c r="V11" s="1">
        <v>18</v>
      </c>
      <c r="W11" s="1">
        <v>19</v>
      </c>
      <c r="X11" s="1">
        <v>20</v>
      </c>
      <c r="Y11" s="1">
        <v>21</v>
      </c>
      <c r="Z11" s="1">
        <v>22</v>
      </c>
      <c r="AA11" s="1">
        <v>23</v>
      </c>
      <c r="AB11" s="1">
        <v>24</v>
      </c>
      <c r="AC11" s="1">
        <v>25</v>
      </c>
      <c r="AD11" s="1">
        <v>26</v>
      </c>
      <c r="AE11" s="1">
        <v>27</v>
      </c>
      <c r="AF11" s="1">
        <v>28</v>
      </c>
      <c r="AG11" s="1">
        <v>29</v>
      </c>
      <c r="AH11" s="1">
        <v>30</v>
      </c>
      <c r="AI11" s="1">
        <v>31</v>
      </c>
    </row>
    <row r="12" spans="2:35" x14ac:dyDescent="0.3">
      <c r="B12" s="1" t="s">
        <v>8</v>
      </c>
      <c r="C12" s="1">
        <v>100</v>
      </c>
      <c r="D12" t="s">
        <v>0</v>
      </c>
      <c r="E12" s="2">
        <v>0</v>
      </c>
      <c r="F12" s="3">
        <f>E12+$C$3</f>
        <v>3.3333333333333335E-3</v>
      </c>
      <c r="G12" s="3">
        <f t="shared" ref="G12:AI12" si="0">F12+$C$3</f>
        <v>6.6666666666666671E-3</v>
      </c>
      <c r="H12" s="3">
        <f t="shared" si="0"/>
        <v>0.01</v>
      </c>
      <c r="I12" s="3">
        <f t="shared" si="0"/>
        <v>1.3333333333333334E-2</v>
      </c>
      <c r="J12" s="3">
        <f t="shared" si="0"/>
        <v>1.6666666666666666E-2</v>
      </c>
      <c r="K12" s="3">
        <f t="shared" si="0"/>
        <v>0.02</v>
      </c>
      <c r="L12" s="3">
        <f t="shared" si="0"/>
        <v>2.3333333333333334E-2</v>
      </c>
      <c r="M12" s="3">
        <f t="shared" si="0"/>
        <v>2.6666666666666668E-2</v>
      </c>
      <c r="N12" s="3">
        <f t="shared" si="0"/>
        <v>3.0000000000000002E-2</v>
      </c>
      <c r="O12" s="3">
        <f t="shared" si="0"/>
        <v>3.3333333333333333E-2</v>
      </c>
      <c r="P12" s="3">
        <f t="shared" si="0"/>
        <v>3.6666666666666667E-2</v>
      </c>
      <c r="Q12" s="3">
        <f t="shared" si="0"/>
        <v>0.04</v>
      </c>
      <c r="R12" s="3">
        <f t="shared" si="0"/>
        <v>4.3333333333333335E-2</v>
      </c>
      <c r="S12" s="3">
        <f t="shared" si="0"/>
        <v>4.6666666666666669E-2</v>
      </c>
      <c r="T12" s="3">
        <f t="shared" si="0"/>
        <v>0.05</v>
      </c>
      <c r="U12" s="3">
        <f t="shared" si="0"/>
        <v>5.3333333333333337E-2</v>
      </c>
      <c r="V12" s="3">
        <f t="shared" si="0"/>
        <v>5.6666666666666671E-2</v>
      </c>
      <c r="W12" s="3">
        <f t="shared" si="0"/>
        <v>6.0000000000000005E-2</v>
      </c>
      <c r="X12" s="3">
        <f t="shared" si="0"/>
        <v>6.3333333333333339E-2</v>
      </c>
      <c r="Y12" s="3">
        <f t="shared" si="0"/>
        <v>6.6666666666666666E-2</v>
      </c>
      <c r="Z12" s="3">
        <f t="shared" si="0"/>
        <v>6.9999999999999993E-2</v>
      </c>
      <c r="AA12" s="3">
        <f t="shared" si="0"/>
        <v>7.333333333333332E-2</v>
      </c>
      <c r="AB12" s="3">
        <f t="shared" si="0"/>
        <v>7.6666666666666647E-2</v>
      </c>
      <c r="AC12" s="3">
        <f t="shared" si="0"/>
        <v>7.9999999999999974E-2</v>
      </c>
      <c r="AD12" s="3">
        <f t="shared" si="0"/>
        <v>8.3333333333333301E-2</v>
      </c>
      <c r="AE12" s="3">
        <f t="shared" si="0"/>
        <v>8.6666666666666628E-2</v>
      </c>
      <c r="AF12" s="3">
        <f t="shared" si="0"/>
        <v>8.9999999999999955E-2</v>
      </c>
      <c r="AG12" s="3">
        <f t="shared" si="0"/>
        <v>9.3333333333333282E-2</v>
      </c>
      <c r="AH12" s="3">
        <f t="shared" si="0"/>
        <v>9.6666666666666609E-2</v>
      </c>
      <c r="AI12" s="3">
        <f t="shared" si="0"/>
        <v>9.9999999999999936E-2</v>
      </c>
    </row>
    <row r="13" spans="2:35" x14ac:dyDescent="0.3">
      <c r="D13" t="s">
        <v>7</v>
      </c>
      <c r="E13">
        <f>(E16/C9)*C3+F13</f>
        <v>299.99997763108769</v>
      </c>
      <c r="F13">
        <v>293.333310964421</v>
      </c>
      <c r="G13">
        <v>286.6666443611611</v>
      </c>
      <c r="H13">
        <v>279.99997782112894</v>
      </c>
      <c r="I13">
        <v>273.33331134396514</v>
      </c>
      <c r="J13">
        <v>266.66664492913264</v>
      </c>
      <c r="K13">
        <v>259.99997857591751</v>
      </c>
      <c r="L13">
        <v>253.3333122834313</v>
      </c>
      <c r="M13">
        <v>246.66664605061328</v>
      </c>
      <c r="N13">
        <v>239.99997987623377</v>
      </c>
      <c r="O13">
        <v>233.33331375889719</v>
      </c>
      <c r="P13">
        <v>226.66664769704656</v>
      </c>
      <c r="Q13">
        <v>219.9999816889673</v>
      </c>
      <c r="R13">
        <v>213.33331573279273</v>
      </c>
      <c r="S13">
        <v>206.66664982650872</v>
      </c>
      <c r="T13">
        <v>199.99998396796005</v>
      </c>
      <c r="U13">
        <v>193.33331815485587</v>
      </c>
      <c r="V13">
        <v>186.6666523847768</v>
      </c>
      <c r="W13">
        <v>179.99998665518126</v>
      </c>
      <c r="X13">
        <v>173.33332096341309</v>
      </c>
      <c r="Y13">
        <v>166.66665530670878</v>
      </c>
      <c r="Z13">
        <v>159.9999896822055</v>
      </c>
      <c r="AA13">
        <v>153.33332408694912</v>
      </c>
      <c r="AB13">
        <v>146.66665851790265</v>
      </c>
      <c r="AC13">
        <v>139.99999297195473</v>
      </c>
      <c r="AD13">
        <v>133.33332744592857</v>
      </c>
      <c r="AE13">
        <v>126.66666193659087</v>
      </c>
      <c r="AF13">
        <v>119.99999644066111</v>
      </c>
      <c r="AG13">
        <v>113.3333309548207</v>
      </c>
      <c r="AH13">
        <v>106.66666547572241</v>
      </c>
      <c r="AI13">
        <v>100</v>
      </c>
    </row>
    <row r="15" spans="2:35" x14ac:dyDescent="0.3">
      <c r="D15" t="s">
        <v>10</v>
      </c>
      <c r="F15">
        <f>F13+($C$9*$C$4/($C$8*$C$7))*((G13-2*F13+E13)/$C$3^2)</f>
        <v>293.3333109961244</v>
      </c>
      <c r="G15">
        <f t="shared" ref="G15:AH15" si="1">G13+($C$9*$C$4/($C$8*$C$7))*((H13-2*G13+F13)/$C$3^2)</f>
        <v>286.66664439277497</v>
      </c>
      <c r="H15">
        <f t="shared" si="1"/>
        <v>279.99997785256312</v>
      </c>
      <c r="I15">
        <f t="shared" si="1"/>
        <v>273.33331137513079</v>
      </c>
      <c r="J15">
        <f t="shared" si="1"/>
        <v>266.66664495994132</v>
      </c>
      <c r="K15">
        <f t="shared" si="1"/>
        <v>259.99997860628196</v>
      </c>
      <c r="L15">
        <f t="shared" si="1"/>
        <v>253.3333123132654</v>
      </c>
      <c r="M15">
        <f t="shared" si="1"/>
        <v>246.66664607983253</v>
      </c>
      <c r="N15">
        <f t="shared" si="1"/>
        <v>239.99997990475524</v>
      </c>
      <c r="O15">
        <f t="shared" si="1"/>
        <v>233.33331378664016</v>
      </c>
      <c r="P15">
        <f t="shared" si="1"/>
        <v>226.66664772393224</v>
      </c>
      <c r="Q15">
        <f t="shared" si="1"/>
        <v>219.99998171491964</v>
      </c>
      <c r="R15">
        <f t="shared" si="1"/>
        <v>213.33331575773801</v>
      </c>
      <c r="S15">
        <f t="shared" si="1"/>
        <v>206.66664985037639</v>
      </c>
      <c r="T15">
        <f t="shared" si="1"/>
        <v>199.9999839906823</v>
      </c>
      <c r="U15">
        <f t="shared" si="1"/>
        <v>193.33331817636844</v>
      </c>
      <c r="V15">
        <f t="shared" si="1"/>
        <v>186.66665240501857</v>
      </c>
      <c r="W15">
        <f t="shared" si="1"/>
        <v>179.99998667409494</v>
      </c>
      <c r="X15">
        <f t="shared" si="1"/>
        <v>173.33332098094502</v>
      </c>
      <c r="Y15">
        <f t="shared" si="1"/>
        <v>166.66665532280928</v>
      </c>
      <c r="Z15">
        <f t="shared" si="1"/>
        <v>159.99998969682895</v>
      </c>
      <c r="AA15">
        <f t="shared" si="1"/>
        <v>153.33332410005409</v>
      </c>
      <c r="AB15">
        <f t="shared" si="1"/>
        <v>146.66665852945192</v>
      </c>
      <c r="AC15">
        <f t="shared" si="1"/>
        <v>139.99999298191563</v>
      </c>
      <c r="AD15">
        <f t="shared" si="1"/>
        <v>133.33332745427279</v>
      </c>
      <c r="AE15">
        <f t="shared" si="1"/>
        <v>126.66666194329484</v>
      </c>
      <c r="AF15">
        <f t="shared" si="1"/>
        <v>119.99999644570579</v>
      </c>
      <c r="AG15">
        <f t="shared" si="1"/>
        <v>113.33333095819177</v>
      </c>
      <c r="AH15">
        <f t="shared" si="1"/>
        <v>106.66666547741035</v>
      </c>
    </row>
    <row r="16" spans="2:35" x14ac:dyDescent="0.3">
      <c r="D16" t="s">
        <v>13</v>
      </c>
      <c r="E16">
        <v>92000</v>
      </c>
      <c r="F16">
        <f>-$C$9*(F13-E13)/$C$3</f>
        <v>92000.000000000262</v>
      </c>
      <c r="G16">
        <f t="shared" ref="G16:AH16" si="2">-$C$9*(G13-F13)/$C$3</f>
        <v>91999.999124986585</v>
      </c>
      <c r="H16">
        <f t="shared" si="2"/>
        <v>91999.998252443911</v>
      </c>
      <c r="I16">
        <f t="shared" si="2"/>
        <v>91999.997384860457</v>
      </c>
      <c r="J16">
        <f t="shared" si="2"/>
        <v>91999.99652468838</v>
      </c>
      <c r="K16">
        <f t="shared" si="2"/>
        <v>91999.995674368853</v>
      </c>
      <c r="L16">
        <f t="shared" si="2"/>
        <v>91999.994836309721</v>
      </c>
      <c r="M16">
        <f t="shared" si="2"/>
        <v>91999.994012888623</v>
      </c>
      <c r="N16">
        <f t="shared" si="2"/>
        <v>91999.993206437299</v>
      </c>
      <c r="O16">
        <f t="shared" si="2"/>
        <v>91999.992419244736</v>
      </c>
      <c r="P16">
        <f t="shared" si="2"/>
        <v>91999.991653538746</v>
      </c>
      <c r="Q16">
        <f t="shared" si="2"/>
        <v>91999.990911493791</v>
      </c>
      <c r="R16">
        <f t="shared" si="2"/>
        <v>91999.990195209044</v>
      </c>
      <c r="S16">
        <f t="shared" si="2"/>
        <v>91999.989506719328</v>
      </c>
      <c r="T16">
        <f t="shared" si="2"/>
        <v>91999.988847971617</v>
      </c>
      <c r="U16">
        <f t="shared" si="2"/>
        <v>91999.988220837593</v>
      </c>
      <c r="V16">
        <f t="shared" si="2"/>
        <v>91999.987627091265</v>
      </c>
      <c r="W16">
        <f t="shared" si="2"/>
        <v>91999.987068418399</v>
      </c>
      <c r="X16">
        <f t="shared" si="2"/>
        <v>91999.986546400789</v>
      </c>
      <c r="Y16">
        <f t="shared" si="2"/>
        <v>91999.986062519485</v>
      </c>
      <c r="Z16">
        <f t="shared" si="2"/>
        <v>91999.985618145278</v>
      </c>
      <c r="AA16">
        <f t="shared" si="2"/>
        <v>91999.985214537985</v>
      </c>
      <c r="AB16">
        <f t="shared" si="2"/>
        <v>91999.984852841313</v>
      </c>
      <c r="AC16">
        <f t="shared" si="2"/>
        <v>91999.984534081319</v>
      </c>
      <c r="AD16">
        <f t="shared" si="2"/>
        <v>91999.984259160876</v>
      </c>
      <c r="AE16">
        <f t="shared" si="2"/>
        <v>91999.98402886033</v>
      </c>
      <c r="AF16">
        <f t="shared" si="2"/>
        <v>91999.983843830734</v>
      </c>
      <c r="AG16">
        <f t="shared" si="2"/>
        <v>91999.983704597675</v>
      </c>
      <c r="AH16">
        <f t="shared" si="2"/>
        <v>91999.983611556308</v>
      </c>
    </row>
  </sheetData>
  <conditionalFormatting sqref="E13:AI13">
    <cfRule type="colorScale" priority="1">
      <colorScale>
        <cfvo type="min"/>
        <cfvo type="max"/>
        <color theme="3" tint="0.59999389629810485"/>
        <color rgb="FFFF0000"/>
      </colorScale>
    </cfRule>
  </conditionalFormatting>
  <pageMargins left="0.7" right="0.7" top="0.75" bottom="0.75" header="0.3" footer="0.3"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Лист2!E12:E12</xm:f>
              <xm:sqref>E13</xm:sqref>
            </x14:sparkline>
            <x14:sparkline>
              <xm:f>Лист2!F12:F12</xm:f>
              <xm:sqref>F13</xm:sqref>
            </x14:sparkline>
            <x14:sparkline>
              <xm:f>Лист2!G12:G12</xm:f>
              <xm:sqref>G13</xm:sqref>
            </x14:sparkline>
            <x14:sparkline>
              <xm:f>Лист2!H12:H12</xm:f>
              <xm:sqref>H13</xm:sqref>
            </x14:sparkline>
            <x14:sparkline>
              <xm:f>Лист2!I12:I12</xm:f>
              <xm:sqref>I13</xm:sqref>
            </x14:sparkline>
            <x14:sparkline>
              <xm:f>Лист2!J12:J12</xm:f>
              <xm:sqref>J13</xm:sqref>
            </x14:sparkline>
            <x14:sparkline>
              <xm:f>Лист2!K12:K12</xm:f>
              <xm:sqref>K13</xm:sqref>
            </x14:sparkline>
            <x14:sparkline>
              <xm:f>Лист2!L12:L12</xm:f>
              <xm:sqref>L13</xm:sqref>
            </x14:sparkline>
            <x14:sparkline>
              <xm:f>Лист2!M12:M12</xm:f>
              <xm:sqref>M13</xm:sqref>
            </x14:sparkline>
            <x14:sparkline>
              <xm:f>Лист2!N12:N12</xm:f>
              <xm:sqref>N13</xm:sqref>
            </x14:sparkline>
            <x14:sparkline>
              <xm:f>Лист2!O12:O12</xm:f>
              <xm:sqref>O13</xm:sqref>
            </x14:sparkline>
            <x14:sparkline>
              <xm:f>Лист2!P12:P12</xm:f>
              <xm:sqref>P13</xm:sqref>
            </x14:sparkline>
            <x14:sparkline>
              <xm:f>Лист2!Q12:Q12</xm:f>
              <xm:sqref>Q13</xm:sqref>
            </x14:sparkline>
            <x14:sparkline>
              <xm:f>Лист2!R12:R12</xm:f>
              <xm:sqref>R13</xm:sqref>
            </x14:sparkline>
            <x14:sparkline>
              <xm:f>Лист2!S12:S12</xm:f>
              <xm:sqref>S13</xm:sqref>
            </x14:sparkline>
            <x14:sparkline>
              <xm:f>Лист2!T12:T12</xm:f>
              <xm:sqref>T13</xm:sqref>
            </x14:sparkline>
            <x14:sparkline>
              <xm:f>Лист2!U12:U12</xm:f>
              <xm:sqref>U13</xm:sqref>
            </x14:sparkline>
            <x14:sparkline>
              <xm:f>Лист2!V12:V12</xm:f>
              <xm:sqref>V13</xm:sqref>
            </x14:sparkline>
            <x14:sparkline>
              <xm:f>Лист2!W12:W12</xm:f>
              <xm:sqref>W13</xm:sqref>
            </x14:sparkline>
            <x14:sparkline>
              <xm:f>Лист2!X12:X12</xm:f>
              <xm:sqref>X13</xm:sqref>
            </x14:sparkline>
            <x14:sparkline>
              <xm:f>Лист2!Y12:Y12</xm:f>
              <xm:sqref>Y13</xm:sqref>
            </x14:sparkline>
            <x14:sparkline>
              <xm:f>Лист2!Z12:Z12</xm:f>
              <xm:sqref>Z13</xm:sqref>
            </x14:sparkline>
            <x14:sparkline>
              <xm:f>Лист2!AA12:AA12</xm:f>
              <xm:sqref>AA13</xm:sqref>
            </x14:sparkline>
            <x14:sparkline>
              <xm:f>Лист2!AB12:AB12</xm:f>
              <xm:sqref>AB13</xm:sqref>
            </x14:sparkline>
            <x14:sparkline>
              <xm:f>Лист2!AC12:AC12</xm:f>
              <xm:sqref>AC13</xm:sqref>
            </x14:sparkline>
            <x14:sparkline>
              <xm:f>Лист2!AD12:AD12</xm:f>
              <xm:sqref>AD13</xm:sqref>
            </x14:sparkline>
            <x14:sparkline>
              <xm:f>Лист2!AE12:AE12</xm:f>
              <xm:sqref>AE13</xm:sqref>
            </x14:sparkline>
            <x14:sparkline>
              <xm:f>Лист2!AF12:AF12</xm:f>
              <xm:sqref>AF13</xm:sqref>
            </x14:sparkline>
            <x14:sparkline>
              <xm:f>Лист2!AG12:AG12</xm:f>
              <xm:sqref>AG13</xm:sqref>
            </x14:sparkline>
            <x14:sparkline>
              <xm:f>Лист2!AH12:AH12</xm:f>
              <xm:sqref>AH13</xm:sqref>
            </x14:sparkline>
            <x14:sparkline>
              <xm:f>Лист2!AI12:AI12</xm:f>
              <xm:sqref>AI13</xm:sqref>
            </x14:sparkline>
          </x14:sparklines>
        </x14:sparklineGroup>
      </x14:sparklineGroup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AI16"/>
  <sheetViews>
    <sheetView tabSelected="1" zoomScale="70" zoomScaleNormal="70" workbookViewId="0">
      <selection activeCell="M27" sqref="M27"/>
    </sheetView>
  </sheetViews>
  <sheetFormatPr defaultRowHeight="14.4" x14ac:dyDescent="0.3"/>
  <cols>
    <col min="5" max="5" width="10.5546875" bestFit="1" customWidth="1"/>
  </cols>
  <sheetData>
    <row r="2" spans="2:35" x14ac:dyDescent="0.3">
      <c r="B2" s="1" t="s">
        <v>0</v>
      </c>
      <c r="C2" s="1">
        <v>0.1</v>
      </c>
    </row>
    <row r="3" spans="2:35" x14ac:dyDescent="0.3">
      <c r="B3" s="1" t="s">
        <v>1</v>
      </c>
      <c r="C3" s="1">
        <f>C2/30</f>
        <v>3.3333333333333335E-3</v>
      </c>
      <c r="L3" t="s">
        <v>11</v>
      </c>
    </row>
    <row r="4" spans="2:35" x14ac:dyDescent="0.3">
      <c r="B4" s="1" t="s">
        <v>2</v>
      </c>
      <c r="C4" s="1">
        <f>(C8*C7*C3^2)/(2*C9)</f>
        <v>0.4333333333333334</v>
      </c>
    </row>
    <row r="5" spans="2:35" x14ac:dyDescent="0.3">
      <c r="B5" s="1" t="s">
        <v>3</v>
      </c>
      <c r="C5" s="1">
        <v>4000</v>
      </c>
      <c r="D5">
        <v>4000.1000000000008</v>
      </c>
    </row>
    <row r="6" spans="2:35" x14ac:dyDescent="0.3">
      <c r="B6" s="1"/>
      <c r="C6" s="1"/>
    </row>
    <row r="7" spans="2:35" x14ac:dyDescent="0.3">
      <c r="B7" s="1" t="s">
        <v>4</v>
      </c>
      <c r="C7" s="1">
        <v>460</v>
      </c>
    </row>
    <row r="8" spans="2:35" x14ac:dyDescent="0.3">
      <c r="B8" s="1" t="s">
        <v>5</v>
      </c>
      <c r="C8" s="1">
        <v>7800</v>
      </c>
    </row>
    <row r="9" spans="2:35" x14ac:dyDescent="0.3">
      <c r="B9" s="1" t="s">
        <v>6</v>
      </c>
      <c r="C9" s="1">
        <v>46</v>
      </c>
    </row>
    <row r="10" spans="2:35" x14ac:dyDescent="0.3">
      <c r="B10" s="1" t="s">
        <v>14</v>
      </c>
      <c r="C10" s="1">
        <v>153.33000000000001</v>
      </c>
    </row>
    <row r="11" spans="2:35" x14ac:dyDescent="0.3">
      <c r="B11" s="1" t="s">
        <v>9</v>
      </c>
      <c r="C11" s="1">
        <v>300</v>
      </c>
      <c r="E11" s="1">
        <v>1</v>
      </c>
      <c r="F11" s="1">
        <v>2</v>
      </c>
      <c r="G11" s="1">
        <v>3</v>
      </c>
      <c r="H11" s="1">
        <v>4</v>
      </c>
      <c r="I11" s="1">
        <v>5</v>
      </c>
      <c r="J11" s="1">
        <v>6</v>
      </c>
      <c r="K11" s="1">
        <v>7</v>
      </c>
      <c r="L11" s="1">
        <v>8</v>
      </c>
      <c r="M11" s="1">
        <v>9</v>
      </c>
      <c r="N11" s="1">
        <v>10</v>
      </c>
      <c r="O11" s="1">
        <v>11</v>
      </c>
      <c r="P11" s="1">
        <v>12</v>
      </c>
      <c r="Q11" s="1">
        <v>13</v>
      </c>
      <c r="R11" s="1">
        <v>14</v>
      </c>
      <c r="S11" s="1">
        <v>15</v>
      </c>
      <c r="T11" s="1">
        <v>16</v>
      </c>
      <c r="U11" s="1">
        <v>17</v>
      </c>
      <c r="V11" s="1">
        <v>18</v>
      </c>
      <c r="W11" s="1">
        <v>19</v>
      </c>
      <c r="X11" s="1">
        <v>20</v>
      </c>
      <c r="Y11" s="1">
        <v>21</v>
      </c>
      <c r="Z11" s="1">
        <v>22</v>
      </c>
      <c r="AA11" s="1">
        <v>23</v>
      </c>
      <c r="AB11" s="1">
        <v>24</v>
      </c>
      <c r="AC11" s="1">
        <v>25</v>
      </c>
      <c r="AD11" s="1">
        <v>26</v>
      </c>
      <c r="AE11" s="1">
        <v>27</v>
      </c>
      <c r="AF11" s="1">
        <v>28</v>
      </c>
      <c r="AG11" s="1">
        <v>29</v>
      </c>
      <c r="AH11" s="1">
        <v>30</v>
      </c>
      <c r="AI11" s="1">
        <v>31</v>
      </c>
    </row>
    <row r="12" spans="2:35" x14ac:dyDescent="0.3">
      <c r="B12" s="1" t="s">
        <v>15</v>
      </c>
      <c r="C12" s="1">
        <v>900</v>
      </c>
      <c r="D12" t="s">
        <v>0</v>
      </c>
      <c r="E12" s="2">
        <v>0</v>
      </c>
      <c r="F12" s="3">
        <f>E12+$C$3</f>
        <v>3.3333333333333335E-3</v>
      </c>
      <c r="G12" s="3">
        <f t="shared" ref="G12:AI12" si="0">F12+$C$3</f>
        <v>6.6666666666666671E-3</v>
      </c>
      <c r="H12" s="3">
        <f t="shared" si="0"/>
        <v>0.01</v>
      </c>
      <c r="I12" s="3">
        <f t="shared" si="0"/>
        <v>1.3333333333333334E-2</v>
      </c>
      <c r="J12" s="3">
        <f t="shared" si="0"/>
        <v>1.6666666666666666E-2</v>
      </c>
      <c r="K12" s="3">
        <f t="shared" si="0"/>
        <v>0.02</v>
      </c>
      <c r="L12" s="3">
        <f t="shared" si="0"/>
        <v>2.3333333333333334E-2</v>
      </c>
      <c r="M12" s="3">
        <f t="shared" si="0"/>
        <v>2.6666666666666668E-2</v>
      </c>
      <c r="N12" s="3">
        <f t="shared" si="0"/>
        <v>3.0000000000000002E-2</v>
      </c>
      <c r="O12" s="3">
        <f t="shared" si="0"/>
        <v>3.3333333333333333E-2</v>
      </c>
      <c r="P12" s="3">
        <f t="shared" si="0"/>
        <v>3.6666666666666667E-2</v>
      </c>
      <c r="Q12" s="3">
        <f t="shared" si="0"/>
        <v>0.04</v>
      </c>
      <c r="R12" s="3">
        <f t="shared" si="0"/>
        <v>4.3333333333333335E-2</v>
      </c>
      <c r="S12" s="3">
        <f t="shared" si="0"/>
        <v>4.6666666666666669E-2</v>
      </c>
      <c r="T12" s="3">
        <f t="shared" si="0"/>
        <v>0.05</v>
      </c>
      <c r="U12" s="3">
        <f t="shared" si="0"/>
        <v>5.3333333333333337E-2</v>
      </c>
      <c r="V12" s="3">
        <f t="shared" si="0"/>
        <v>5.6666666666666671E-2</v>
      </c>
      <c r="W12" s="3">
        <f t="shared" si="0"/>
        <v>6.0000000000000005E-2</v>
      </c>
      <c r="X12" s="3">
        <f t="shared" si="0"/>
        <v>6.3333333333333339E-2</v>
      </c>
      <c r="Y12" s="3">
        <f t="shared" si="0"/>
        <v>6.6666666666666666E-2</v>
      </c>
      <c r="Z12" s="3">
        <f t="shared" si="0"/>
        <v>6.9999999999999993E-2</v>
      </c>
      <c r="AA12" s="3">
        <f t="shared" si="0"/>
        <v>7.333333333333332E-2</v>
      </c>
      <c r="AB12" s="3">
        <f t="shared" si="0"/>
        <v>7.6666666666666647E-2</v>
      </c>
      <c r="AC12" s="3">
        <f t="shared" si="0"/>
        <v>7.9999999999999974E-2</v>
      </c>
      <c r="AD12" s="3">
        <f t="shared" si="0"/>
        <v>8.3333333333333301E-2</v>
      </c>
      <c r="AE12" s="3">
        <f t="shared" si="0"/>
        <v>8.6666666666666628E-2</v>
      </c>
      <c r="AF12" s="3">
        <f t="shared" si="0"/>
        <v>8.9999999999999955E-2</v>
      </c>
      <c r="AG12" s="3">
        <f t="shared" si="0"/>
        <v>9.3333333333333282E-2</v>
      </c>
      <c r="AH12" s="3">
        <f t="shared" si="0"/>
        <v>9.6666666666666609E-2</v>
      </c>
      <c r="AI12" s="3">
        <f t="shared" si="0"/>
        <v>9.9999999999999936E-2</v>
      </c>
    </row>
    <row r="13" spans="2:35" x14ac:dyDescent="0.3">
      <c r="D13" t="s">
        <v>7</v>
      </c>
      <c r="E13">
        <f>(C12*C$3*C$10+F13*C$9)/(C$3*C$10+C$9)</f>
        <v>299.99671759750413</v>
      </c>
      <c r="F13">
        <v>293.33015938802771</v>
      </c>
      <c r="G13">
        <v>286.66360125547305</v>
      </c>
      <c r="H13">
        <v>279.99704320041349</v>
      </c>
      <c r="I13">
        <v>273.33048522314834</v>
      </c>
      <c r="J13">
        <v>266.66392732370167</v>
      </c>
      <c r="K13">
        <v>259.99736950182262</v>
      </c>
      <c r="L13">
        <v>253.33081175698584</v>
      </c>
      <c r="M13">
        <v>246.66425408839373</v>
      </c>
      <c r="N13">
        <v>239.99769649497904</v>
      </c>
      <c r="O13">
        <v>233.33113897540869</v>
      </c>
      <c r="P13">
        <v>226.66458152808843</v>
      </c>
      <c r="Q13">
        <v>219.99802415116869</v>
      </c>
      <c r="R13">
        <v>213.33146684255081</v>
      </c>
      <c r="S13">
        <v>206.66490959989468</v>
      </c>
      <c r="T13">
        <v>199.99835242062699</v>
      </c>
      <c r="U13">
        <v>193.33179530195025</v>
      </c>
      <c r="V13">
        <v>186.66523824085272</v>
      </c>
      <c r="W13">
        <v>179.99868123411903</v>
      </c>
      <c r="X13">
        <v>173.33212427834172</v>
      </c>
      <c r="Y13">
        <v>166.665567369933</v>
      </c>
      <c r="Z13">
        <v>159.99901050513768</v>
      </c>
      <c r="AA13">
        <v>153.33245368004629</v>
      </c>
      <c r="AB13">
        <v>146.66589689060902</v>
      </c>
      <c r="AC13">
        <v>139.99934013264996</v>
      </c>
      <c r="AD13">
        <v>133.3327834018819</v>
      </c>
      <c r="AE13">
        <v>126.66622669392154</v>
      </c>
      <c r="AF13">
        <v>119.9996700043048</v>
      </c>
      <c r="AG13">
        <v>113.3331133285029</v>
      </c>
      <c r="AH13">
        <v>106.66655666193807</v>
      </c>
      <c r="AI13">
        <v>100</v>
      </c>
    </row>
    <row r="15" spans="2:35" x14ac:dyDescent="0.3">
      <c r="D15" t="s">
        <v>10</v>
      </c>
      <c r="F15">
        <f>F13+($C$9*$C$4/($C$8*$C$7))*((G13-2*F13+E13)/$C$3^2)</f>
        <v>293.33015942648859</v>
      </c>
      <c r="G15">
        <f t="shared" ref="G15:AH15" si="1">G13+($C$9*$C$4/($C$8*$C$7))*((H13-2*G13+F13)/$C$3^2)</f>
        <v>286.6636012942206</v>
      </c>
      <c r="H15">
        <f t="shared" si="1"/>
        <v>279.9970432393107</v>
      </c>
      <c r="I15">
        <f t="shared" si="1"/>
        <v>273.33048526205755</v>
      </c>
      <c r="J15">
        <f t="shared" si="1"/>
        <v>266.66392736248548</v>
      </c>
      <c r="K15">
        <f t="shared" si="1"/>
        <v>259.99736954034375</v>
      </c>
      <c r="L15">
        <f t="shared" si="1"/>
        <v>253.33081179510816</v>
      </c>
      <c r="M15">
        <f t="shared" si="1"/>
        <v>246.66425412598244</v>
      </c>
      <c r="N15">
        <f t="shared" si="1"/>
        <v>239.99769653190123</v>
      </c>
      <c r="O15">
        <f t="shared" si="1"/>
        <v>233.33113901153374</v>
      </c>
      <c r="P15">
        <f t="shared" si="1"/>
        <v>226.66458156328869</v>
      </c>
      <c r="Q15">
        <f t="shared" si="1"/>
        <v>219.99802418531962</v>
      </c>
      <c r="R15">
        <f t="shared" si="1"/>
        <v>213.3314668755317</v>
      </c>
      <c r="S15">
        <f t="shared" si="1"/>
        <v>206.6649096315889</v>
      </c>
      <c r="T15">
        <f t="shared" si="1"/>
        <v>199.99835245092248</v>
      </c>
      <c r="U15">
        <f t="shared" si="1"/>
        <v>193.33179533073985</v>
      </c>
      <c r="V15">
        <f t="shared" si="1"/>
        <v>186.66523826803464</v>
      </c>
      <c r="W15">
        <f t="shared" si="1"/>
        <v>179.99868125959722</v>
      </c>
      <c r="X15">
        <f t="shared" si="1"/>
        <v>173.33212430202602</v>
      </c>
      <c r="Y15">
        <f t="shared" si="1"/>
        <v>166.6655673917397</v>
      </c>
      <c r="Z15">
        <f t="shared" si="1"/>
        <v>159.99901052498964</v>
      </c>
      <c r="AA15">
        <f t="shared" si="1"/>
        <v>153.33245369787335</v>
      </c>
      <c r="AB15">
        <f t="shared" si="1"/>
        <v>146.66589690634811</v>
      </c>
      <c r="AC15">
        <f t="shared" si="1"/>
        <v>139.99934014624546</v>
      </c>
      <c r="AD15">
        <f t="shared" si="1"/>
        <v>133.33278341328577</v>
      </c>
      <c r="AE15">
        <f t="shared" si="1"/>
        <v>126.66622670309334</v>
      </c>
      <c r="AF15">
        <f t="shared" si="1"/>
        <v>119.99967001121223</v>
      </c>
      <c r="AG15">
        <f t="shared" si="1"/>
        <v>113.33311333312145</v>
      </c>
      <c r="AH15">
        <f t="shared" si="1"/>
        <v>106.66655666425146</v>
      </c>
    </row>
    <row r="16" spans="2:35" x14ac:dyDescent="0.3">
      <c r="D16" t="s">
        <v>13</v>
      </c>
      <c r="F16">
        <f>-$C$9*(F13-E13)/$C$3</f>
        <v>91998.503290774592</v>
      </c>
      <c r="G16">
        <f t="shared" ref="G16:AH16" si="2">-$C$9*(G13-F13)/$C$3</f>
        <v>91998.502229254242</v>
      </c>
      <c r="H16">
        <f t="shared" si="2"/>
        <v>91998.50115982203</v>
      </c>
      <c r="I16">
        <f t="shared" si="2"/>
        <v>91998.500086258966</v>
      </c>
      <c r="J16">
        <f t="shared" si="2"/>
        <v>91998.499012364075</v>
      </c>
      <c r="K16">
        <f t="shared" si="2"/>
        <v>91998.497941930924</v>
      </c>
      <c r="L16">
        <f t="shared" si="2"/>
        <v>91998.496878747552</v>
      </c>
      <c r="M16">
        <f t="shared" si="2"/>
        <v>91998.495826571045</v>
      </c>
      <c r="N16">
        <f t="shared" si="2"/>
        <v>91998.494789122778</v>
      </c>
      <c r="O16">
        <f t="shared" si="2"/>
        <v>91998.493770070781</v>
      </c>
      <c r="P16">
        <f t="shared" si="2"/>
        <v>91998.492773019563</v>
      </c>
      <c r="Q16">
        <f t="shared" si="2"/>
        <v>91998.491801492419</v>
      </c>
      <c r="R16">
        <f t="shared" si="2"/>
        <v>91998.490858926772</v>
      </c>
      <c r="S16">
        <f t="shared" si="2"/>
        <v>91998.489948654533</v>
      </c>
      <c r="T16">
        <f t="shared" si="2"/>
        <v>91998.489073894234</v>
      </c>
      <c r="U16">
        <f t="shared" si="2"/>
        <v>91998.488237738944</v>
      </c>
      <c r="V16">
        <f t="shared" si="2"/>
        <v>91998.487443145976</v>
      </c>
      <c r="W16">
        <f t="shared" si="2"/>
        <v>91998.486692924824</v>
      </c>
      <c r="X16">
        <f t="shared" si="2"/>
        <v>91998.485989726862</v>
      </c>
      <c r="Y16">
        <f t="shared" si="2"/>
        <v>91998.485336040365</v>
      </c>
      <c r="Z16">
        <f t="shared" si="2"/>
        <v>91998.484734175479</v>
      </c>
      <c r="AA16">
        <f t="shared" si="2"/>
        <v>91998.484186261179</v>
      </c>
      <c r="AB16">
        <f t="shared" si="2"/>
        <v>91998.483694234266</v>
      </c>
      <c r="AC16">
        <f t="shared" si="2"/>
        <v>91998.483259834989</v>
      </c>
      <c r="AD16">
        <f t="shared" si="2"/>
        <v>91998.482884599289</v>
      </c>
      <c r="AE16">
        <f t="shared" si="2"/>
        <v>91998.482569852873</v>
      </c>
      <c r="AF16">
        <f t="shared" si="2"/>
        <v>91998.482316711001</v>
      </c>
      <c r="AG16">
        <f t="shared" si="2"/>
        <v>91998.482126066214</v>
      </c>
      <c r="AH16">
        <f t="shared" si="2"/>
        <v>91998.481998594652</v>
      </c>
    </row>
  </sheetData>
  <conditionalFormatting sqref="E13:AI13">
    <cfRule type="colorScale" priority="1">
      <colorScale>
        <cfvo type="min"/>
        <cfvo type="max"/>
        <color theme="3" tint="0.59999389629810485"/>
        <color rgb="FFFF0000"/>
      </colorScale>
    </cfRule>
  </conditionalFormatting>
  <pageMargins left="0.7" right="0.7" top="0.75" bottom="0.75" header="0.3" footer="0.3"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Лист3!E12:E12</xm:f>
              <xm:sqref>E13</xm:sqref>
            </x14:sparkline>
            <x14:sparkline>
              <xm:f>Лист3!F12:F12</xm:f>
              <xm:sqref>F13</xm:sqref>
            </x14:sparkline>
            <x14:sparkline>
              <xm:f>Лист3!G12:G12</xm:f>
              <xm:sqref>G13</xm:sqref>
            </x14:sparkline>
            <x14:sparkline>
              <xm:f>Лист3!H12:H12</xm:f>
              <xm:sqref>H13</xm:sqref>
            </x14:sparkline>
            <x14:sparkline>
              <xm:f>Лист3!I12:I12</xm:f>
              <xm:sqref>I13</xm:sqref>
            </x14:sparkline>
            <x14:sparkline>
              <xm:f>Лист3!J12:J12</xm:f>
              <xm:sqref>J13</xm:sqref>
            </x14:sparkline>
            <x14:sparkline>
              <xm:f>Лист3!K12:K12</xm:f>
              <xm:sqref>K13</xm:sqref>
            </x14:sparkline>
            <x14:sparkline>
              <xm:f>Лист3!L12:L12</xm:f>
              <xm:sqref>L13</xm:sqref>
            </x14:sparkline>
            <x14:sparkline>
              <xm:f>Лист3!M12:M12</xm:f>
              <xm:sqref>M13</xm:sqref>
            </x14:sparkline>
            <x14:sparkline>
              <xm:f>Лист3!N12:N12</xm:f>
              <xm:sqref>N13</xm:sqref>
            </x14:sparkline>
            <x14:sparkline>
              <xm:f>Лист3!O12:O12</xm:f>
              <xm:sqref>O13</xm:sqref>
            </x14:sparkline>
            <x14:sparkline>
              <xm:f>Лист3!P12:P12</xm:f>
              <xm:sqref>P13</xm:sqref>
            </x14:sparkline>
            <x14:sparkline>
              <xm:f>Лист3!Q12:Q12</xm:f>
              <xm:sqref>Q13</xm:sqref>
            </x14:sparkline>
            <x14:sparkline>
              <xm:f>Лист3!R12:R12</xm:f>
              <xm:sqref>R13</xm:sqref>
            </x14:sparkline>
            <x14:sparkline>
              <xm:f>Лист3!S12:S12</xm:f>
              <xm:sqref>S13</xm:sqref>
            </x14:sparkline>
            <x14:sparkline>
              <xm:f>Лист3!T12:T12</xm:f>
              <xm:sqref>T13</xm:sqref>
            </x14:sparkline>
            <x14:sparkline>
              <xm:f>Лист3!U12:U12</xm:f>
              <xm:sqref>U13</xm:sqref>
            </x14:sparkline>
            <x14:sparkline>
              <xm:f>Лист3!V12:V12</xm:f>
              <xm:sqref>V13</xm:sqref>
            </x14:sparkline>
            <x14:sparkline>
              <xm:f>Лист3!W12:W12</xm:f>
              <xm:sqref>W13</xm:sqref>
            </x14:sparkline>
            <x14:sparkline>
              <xm:f>Лист3!X12:X12</xm:f>
              <xm:sqref>X13</xm:sqref>
            </x14:sparkline>
            <x14:sparkline>
              <xm:f>Лист3!Y12:Y12</xm:f>
              <xm:sqref>Y13</xm:sqref>
            </x14:sparkline>
            <x14:sparkline>
              <xm:f>Лист3!Z12:Z12</xm:f>
              <xm:sqref>Z13</xm:sqref>
            </x14:sparkline>
            <x14:sparkline>
              <xm:f>Лист3!AA12:AA12</xm:f>
              <xm:sqref>AA13</xm:sqref>
            </x14:sparkline>
            <x14:sparkline>
              <xm:f>Лист3!AB12:AB12</xm:f>
              <xm:sqref>AB13</xm:sqref>
            </x14:sparkline>
            <x14:sparkline>
              <xm:f>Лист3!AC12:AC12</xm:f>
              <xm:sqref>AC13</xm:sqref>
            </x14:sparkline>
            <x14:sparkline>
              <xm:f>Лист3!AD12:AD12</xm:f>
              <xm:sqref>AD13</xm:sqref>
            </x14:sparkline>
            <x14:sparkline>
              <xm:f>Лист3!AE12:AE12</xm:f>
              <xm:sqref>AE13</xm:sqref>
            </x14:sparkline>
            <x14:sparkline>
              <xm:f>Лист3!AF12:AF12</xm:f>
              <xm:sqref>AF13</xm:sqref>
            </x14:sparkline>
            <x14:sparkline>
              <xm:f>Лист3!AG12:AG12</xm:f>
              <xm:sqref>AG13</xm:sqref>
            </x14:sparkline>
            <x14:sparkline>
              <xm:f>Лист3!AH12:AH12</xm:f>
              <xm:sqref>AH13</xm:sqref>
            </x14:sparkline>
            <x14:sparkline>
              <xm:f>Лист3!AI12:AI12</xm:f>
              <xm:sqref>AI13</xm:sqref>
            </x14:sparkline>
          </x14:sparklines>
        </x14:sparklineGroup>
      </x14:sparklineGroup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K15"/>
  <sheetViews>
    <sheetView topLeftCell="C5" zoomScale="65" zoomScaleNormal="65" workbookViewId="0">
      <selection activeCell="X24" sqref="X24"/>
    </sheetView>
  </sheetViews>
  <sheetFormatPr defaultRowHeight="14.4" x14ac:dyDescent="0.3"/>
  <cols>
    <col min="20" max="20" width="12.44140625" bestFit="1" customWidth="1"/>
    <col min="21" max="21" width="13.109375" bestFit="1" customWidth="1"/>
  </cols>
  <sheetData>
    <row r="2" spans="1:37" x14ac:dyDescent="0.3">
      <c r="B2" s="1" t="s">
        <v>0</v>
      </c>
      <c r="C2" s="1">
        <v>0.1</v>
      </c>
    </row>
    <row r="3" spans="1:37" x14ac:dyDescent="0.3">
      <c r="B3" s="1" t="s">
        <v>1</v>
      </c>
      <c r="C3" s="1">
        <f>C2/30</f>
        <v>3.3333333333333335E-3</v>
      </c>
      <c r="L3" t="s">
        <v>11</v>
      </c>
    </row>
    <row r="4" spans="1:37" x14ac:dyDescent="0.3">
      <c r="B4" s="1" t="s">
        <v>2</v>
      </c>
      <c r="C4" s="1">
        <f>(C8*C7*C3^2)/(2*C9)</f>
        <v>0.4333333333333334</v>
      </c>
    </row>
    <row r="5" spans="1:37" x14ac:dyDescent="0.3">
      <c r="B5" s="1" t="s">
        <v>3</v>
      </c>
      <c r="C5" s="1">
        <v>60</v>
      </c>
      <c r="D5">
        <v>60.233333333333341</v>
      </c>
    </row>
    <row r="6" spans="1:37" x14ac:dyDescent="0.3">
      <c r="B6" s="1"/>
      <c r="C6" s="1"/>
    </row>
    <row r="7" spans="1:37" x14ac:dyDescent="0.3">
      <c r="B7" s="1" t="s">
        <v>4</v>
      </c>
      <c r="C7" s="1">
        <v>460</v>
      </c>
    </row>
    <row r="8" spans="1:37" x14ac:dyDescent="0.3">
      <c r="B8" s="1" t="s">
        <v>5</v>
      </c>
      <c r="C8" s="1">
        <v>7800</v>
      </c>
    </row>
    <row r="9" spans="1:37" x14ac:dyDescent="0.3">
      <c r="B9" s="1" t="s">
        <v>16</v>
      </c>
      <c r="C9" s="1">
        <v>46</v>
      </c>
    </row>
    <row r="10" spans="1:37" x14ac:dyDescent="0.3">
      <c r="B10" s="1" t="s">
        <v>17</v>
      </c>
      <c r="C10" s="1">
        <v>209.3</v>
      </c>
    </row>
    <row r="11" spans="1:37" x14ac:dyDescent="0.3">
      <c r="B11" s="1" t="s">
        <v>9</v>
      </c>
      <c r="C11" s="1">
        <v>300</v>
      </c>
      <c r="E11" s="1">
        <v>1</v>
      </c>
      <c r="F11" s="1">
        <v>2</v>
      </c>
      <c r="G11" s="1">
        <v>3</v>
      </c>
      <c r="H11" s="1">
        <v>4</v>
      </c>
      <c r="I11" s="1">
        <v>5</v>
      </c>
      <c r="J11" s="1">
        <v>6</v>
      </c>
      <c r="K11" s="1">
        <v>7</v>
      </c>
      <c r="L11" s="1">
        <v>8</v>
      </c>
      <c r="M11" s="1">
        <v>9</v>
      </c>
      <c r="N11" s="1">
        <v>10</v>
      </c>
      <c r="O11" s="1">
        <v>11</v>
      </c>
      <c r="P11" s="1">
        <v>12</v>
      </c>
      <c r="Q11" s="1">
        <v>13</v>
      </c>
      <c r="R11" s="1">
        <v>14</v>
      </c>
      <c r="S11" s="1">
        <v>15</v>
      </c>
      <c r="T11" s="1">
        <v>16</v>
      </c>
      <c r="W11" s="1">
        <v>17</v>
      </c>
      <c r="X11" s="1">
        <v>18</v>
      </c>
      <c r="Y11" s="1">
        <v>19</v>
      </c>
      <c r="Z11" s="1">
        <v>20</v>
      </c>
      <c r="AA11" s="1">
        <v>21</v>
      </c>
      <c r="AB11" s="1">
        <v>22</v>
      </c>
      <c r="AC11" s="1">
        <v>23</v>
      </c>
      <c r="AD11" s="1">
        <v>24</v>
      </c>
      <c r="AE11" s="1">
        <v>25</v>
      </c>
      <c r="AF11" s="1">
        <v>26</v>
      </c>
      <c r="AG11" s="1">
        <v>27</v>
      </c>
      <c r="AH11" s="1">
        <v>28</v>
      </c>
      <c r="AI11" s="1">
        <v>29</v>
      </c>
      <c r="AJ11" s="1">
        <v>30</v>
      </c>
      <c r="AK11" s="1">
        <v>31</v>
      </c>
    </row>
    <row r="12" spans="1:37" x14ac:dyDescent="0.3">
      <c r="B12" s="1" t="s">
        <v>8</v>
      </c>
      <c r="C12" s="1">
        <v>100</v>
      </c>
      <c r="D12" t="s">
        <v>0</v>
      </c>
      <c r="E12" s="2">
        <v>0</v>
      </c>
      <c r="F12" s="3">
        <f>E12+$C$3</f>
        <v>3.3333333333333335E-3</v>
      </c>
      <c r="G12" s="3">
        <f t="shared" ref="G12:T12" si="0">F12+$C$3</f>
        <v>6.6666666666666671E-3</v>
      </c>
      <c r="H12" s="3">
        <f t="shared" si="0"/>
        <v>0.01</v>
      </c>
      <c r="I12" s="3">
        <f t="shared" si="0"/>
        <v>1.3333333333333334E-2</v>
      </c>
      <c r="J12" s="3">
        <f t="shared" si="0"/>
        <v>1.6666666666666666E-2</v>
      </c>
      <c r="K12" s="3">
        <f t="shared" si="0"/>
        <v>0.02</v>
      </c>
      <c r="L12" s="3">
        <f t="shared" si="0"/>
        <v>2.3333333333333334E-2</v>
      </c>
      <c r="M12" s="3">
        <f t="shared" si="0"/>
        <v>2.6666666666666668E-2</v>
      </c>
      <c r="N12" s="3">
        <f t="shared" si="0"/>
        <v>3.0000000000000002E-2</v>
      </c>
      <c r="O12" s="3">
        <f t="shared" si="0"/>
        <v>3.3333333333333333E-2</v>
      </c>
      <c r="P12" s="3">
        <f t="shared" si="0"/>
        <v>3.6666666666666667E-2</v>
      </c>
      <c r="Q12" s="3">
        <f t="shared" si="0"/>
        <v>0.04</v>
      </c>
      <c r="R12" s="3">
        <f t="shared" si="0"/>
        <v>4.3333333333333335E-2</v>
      </c>
      <c r="S12" s="3">
        <f t="shared" si="0"/>
        <v>4.6666666666666669E-2</v>
      </c>
      <c r="T12" s="3">
        <f t="shared" si="0"/>
        <v>0.05</v>
      </c>
      <c r="W12" s="3">
        <f>T12+$C$3</f>
        <v>5.3333333333333337E-2</v>
      </c>
      <c r="X12" s="3">
        <f t="shared" ref="X12:AK12" si="1">W12+$C$3</f>
        <v>5.6666666666666671E-2</v>
      </c>
      <c r="Y12" s="3">
        <f t="shared" si="1"/>
        <v>6.0000000000000005E-2</v>
      </c>
      <c r="Z12" s="3">
        <f t="shared" si="1"/>
        <v>6.3333333333333339E-2</v>
      </c>
      <c r="AA12" s="3">
        <f t="shared" si="1"/>
        <v>6.6666666666666666E-2</v>
      </c>
      <c r="AB12" s="3">
        <f t="shared" si="1"/>
        <v>6.9999999999999993E-2</v>
      </c>
      <c r="AC12" s="3">
        <f t="shared" si="1"/>
        <v>7.333333333333332E-2</v>
      </c>
      <c r="AD12" s="3">
        <f t="shared" si="1"/>
        <v>7.6666666666666647E-2</v>
      </c>
      <c r="AE12" s="3">
        <f t="shared" si="1"/>
        <v>7.9999999999999974E-2</v>
      </c>
      <c r="AF12" s="3">
        <f t="shared" si="1"/>
        <v>8.3333333333333301E-2</v>
      </c>
      <c r="AG12" s="3">
        <f t="shared" si="1"/>
        <v>8.6666666666666628E-2</v>
      </c>
      <c r="AH12" s="3">
        <f t="shared" si="1"/>
        <v>8.9999999999999955E-2</v>
      </c>
      <c r="AI12" s="3">
        <f t="shared" si="1"/>
        <v>9.3333333333333282E-2</v>
      </c>
      <c r="AJ12" s="3">
        <f t="shared" si="1"/>
        <v>9.6666666666666609E-2</v>
      </c>
      <c r="AK12" s="3">
        <f t="shared" si="1"/>
        <v>9.9999999999999936E-2</v>
      </c>
    </row>
    <row r="13" spans="1:37" x14ac:dyDescent="0.3">
      <c r="D13" t="s">
        <v>7</v>
      </c>
      <c r="E13">
        <v>300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100</v>
      </c>
    </row>
    <row r="14" spans="1:37" x14ac:dyDescent="0.3">
      <c r="A14" t="s">
        <v>10</v>
      </c>
    </row>
    <row r="15" spans="1:37" x14ac:dyDescent="0.3">
      <c r="F15">
        <f>F13+($C$9*$C$4/($C$8*$C$7))*((G13-2*F13+E13)/$C$3^2)</f>
        <v>150</v>
      </c>
      <c r="G15">
        <f t="shared" ref="G15:S15" si="2">G13+($C$9*$C$4/($C$8*$C$7))*((H13-2*G13+F13)/$C$3^2)</f>
        <v>0</v>
      </c>
      <c r="H15">
        <f t="shared" si="2"/>
        <v>0</v>
      </c>
      <c r="I15">
        <f t="shared" si="2"/>
        <v>0</v>
      </c>
      <c r="J15">
        <f t="shared" si="2"/>
        <v>0</v>
      </c>
      <c r="K15">
        <f t="shared" si="2"/>
        <v>0</v>
      </c>
      <c r="L15">
        <f t="shared" si="2"/>
        <v>0</v>
      </c>
      <c r="M15">
        <f t="shared" si="2"/>
        <v>0</v>
      </c>
      <c r="N15">
        <f t="shared" si="2"/>
        <v>0</v>
      </c>
      <c r="O15">
        <f t="shared" si="2"/>
        <v>0</v>
      </c>
      <c r="P15">
        <f t="shared" si="2"/>
        <v>0</v>
      </c>
      <c r="Q15">
        <f t="shared" si="2"/>
        <v>0</v>
      </c>
      <c r="R15">
        <f t="shared" si="2"/>
        <v>0</v>
      </c>
      <c r="S15">
        <f t="shared" si="2"/>
        <v>0</v>
      </c>
      <c r="T15">
        <f>T13+($C$9*$C$4/($C$8*$C$7))*((W13-2*T13+S13)/$C$3^2)</f>
        <v>0</v>
      </c>
      <c r="W15">
        <f>W13+($C$9*$C$4/($C$8*$C$7))*((X13-2*W13+T13)/$C$3^2)</f>
        <v>0</v>
      </c>
      <c r="X15">
        <f t="shared" ref="X15" si="3">X13+($C$9*$C$4/($C$8*$C$7))*((Y13-2*X13+W13)/$C$3^2)</f>
        <v>0</v>
      </c>
      <c r="Y15">
        <f t="shared" ref="Y15:Z15" si="4">Y13+($C$9*$C$4/($C$8*$C$7))*((Z13-2*Y13+X13)/$C$3^2)</f>
        <v>0</v>
      </c>
      <c r="Z15">
        <f t="shared" si="4"/>
        <v>0</v>
      </c>
      <c r="AA15">
        <f t="shared" ref="AA15" si="5">AA13+($C$9*$C$4/($C$8*$C$7))*((AB13-2*AA13+Z13)/$C$3^2)</f>
        <v>0</v>
      </c>
      <c r="AB15">
        <f t="shared" ref="AB15" si="6">AB13+($C$9*$C$4/($C$8*$C$7))*((AC13-2*AB13+AA13)/$C$3^2)</f>
        <v>0</v>
      </c>
      <c r="AC15">
        <f t="shared" ref="AC15:AD15" si="7">AC13+($C$9*$C$4/($C$8*$C$7))*((AD13-2*AC13+AB13)/$C$3^2)</f>
        <v>0</v>
      </c>
      <c r="AD15">
        <f t="shared" si="7"/>
        <v>0</v>
      </c>
      <c r="AE15">
        <f t="shared" ref="AE15" si="8">AE13+($C$9*$C$4/($C$8*$C$7))*((AF13-2*AE13+AD13)/$C$3^2)</f>
        <v>0</v>
      </c>
      <c r="AF15">
        <f t="shared" ref="AF15" si="9">AF13+($C$9*$C$4/($C$8*$C$7))*((AG13-2*AF13+AE13)/$C$3^2)</f>
        <v>0</v>
      </c>
      <c r="AG15">
        <f t="shared" ref="AG15:AH15" si="10">AG13+($C$9*$C$4/($C$8*$C$7))*((AH13-2*AG13+AF13)/$C$3^2)</f>
        <v>0</v>
      </c>
      <c r="AH15">
        <f t="shared" si="10"/>
        <v>0</v>
      </c>
      <c r="AI15">
        <f t="shared" ref="AI15" si="11">AI13+($C$9*$C$4/($C$8*$C$7))*((AJ13-2*AI13+AH13)/$C$3^2)</f>
        <v>0</v>
      </c>
      <c r="AJ15">
        <f t="shared" ref="AJ15" si="12">AJ13+($C$9*$C$4/($C$8*$C$7))*((AK13-2*AJ13+AI13)/$C$3^2)</f>
        <v>50</v>
      </c>
    </row>
  </sheetData>
  <pageMargins left="0.7" right="0.7" top="0.75" bottom="0.75" header="0.3" footer="0.3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Лист4!E12:E12</xm:f>
              <xm:sqref>E13</xm:sqref>
            </x14:sparkline>
            <x14:sparkline>
              <xm:f>Лист4!F12:F12</xm:f>
              <xm:sqref>F13</xm:sqref>
            </x14:sparkline>
            <x14:sparkline>
              <xm:f>Лист4!AK12:AK12</xm:f>
              <xm:sqref>AK13</xm:sqref>
            </x14:sparkline>
            <x14:sparkline>
              <xm:f>Лист4!G12:G12</xm:f>
              <xm:sqref>G13</xm:sqref>
            </x14:sparkline>
            <x14:sparkline>
              <xm:f>Лист4!H12:H12</xm:f>
              <xm:sqref>H13</xm:sqref>
            </x14:sparkline>
            <x14:sparkline>
              <xm:f>Лист4!I12:I12</xm:f>
              <xm:sqref>I13</xm:sqref>
            </x14:sparkline>
            <x14:sparkline>
              <xm:f>Лист4!J12:J12</xm:f>
              <xm:sqref>J13</xm:sqref>
            </x14:sparkline>
            <x14:sparkline>
              <xm:f>Лист4!K12:K12</xm:f>
              <xm:sqref>K13</xm:sqref>
            </x14:sparkline>
            <x14:sparkline>
              <xm:f>Лист4!L12:L12</xm:f>
              <xm:sqref>L13</xm:sqref>
            </x14:sparkline>
            <x14:sparkline>
              <xm:f>Лист4!M12:M12</xm:f>
              <xm:sqref>M13</xm:sqref>
            </x14:sparkline>
            <x14:sparkline>
              <xm:f>Лист4!N12:N12</xm:f>
              <xm:sqref>N13</xm:sqref>
            </x14:sparkline>
            <x14:sparkline>
              <xm:f>Лист4!O12:O12</xm:f>
              <xm:sqref>O13</xm:sqref>
            </x14:sparkline>
            <x14:sparkline>
              <xm:f>Лист4!P12:P12</xm:f>
              <xm:sqref>P13</xm:sqref>
            </x14:sparkline>
            <x14:sparkline>
              <xm:f>Лист4!Q12:Q12</xm:f>
              <xm:sqref>Q13</xm:sqref>
            </x14:sparkline>
            <x14:sparkline>
              <xm:f>Лист4!R12:R12</xm:f>
              <xm:sqref>R13</xm:sqref>
            </x14:sparkline>
            <x14:sparkline>
              <xm:f>Лист4!S12:S12</xm:f>
              <xm:sqref>S13</xm:sqref>
            </x14:sparkline>
            <x14:sparkline>
              <xm:f>Лист4!T12:T12</xm:f>
              <xm:sqref>T13</xm:sqref>
            </x14:sparkline>
            <x14:sparkline>
              <xm:f>Лист4!W12:W12</xm:f>
              <xm:sqref>W13</xm:sqref>
            </x14:sparkline>
            <x14:sparkline>
              <xm:f>Лист4!X12:X12</xm:f>
              <xm:sqref>X13</xm:sqref>
            </x14:sparkline>
            <x14:sparkline>
              <xm:f>Лист4!Y12:Y12</xm:f>
              <xm:sqref>Y13</xm:sqref>
            </x14:sparkline>
            <x14:sparkline>
              <xm:f>Лист4!Z12:Z12</xm:f>
              <xm:sqref>Z13</xm:sqref>
            </x14:sparkline>
            <x14:sparkline>
              <xm:f>Лист4!AA12:AA12</xm:f>
              <xm:sqref>AA13</xm:sqref>
            </x14:sparkline>
            <x14:sparkline>
              <xm:f>Лист4!AB12:AB12</xm:f>
              <xm:sqref>AB13</xm:sqref>
            </x14:sparkline>
            <x14:sparkline>
              <xm:f>Лист4!AC12:AC12</xm:f>
              <xm:sqref>AC13</xm:sqref>
            </x14:sparkline>
            <x14:sparkline>
              <xm:f>Лист4!AD12:AD12</xm:f>
              <xm:sqref>AD13</xm:sqref>
            </x14:sparkline>
            <x14:sparkline>
              <xm:f>Лист4!AE12:AE12</xm:f>
              <xm:sqref>AE13</xm:sqref>
            </x14:sparkline>
            <x14:sparkline>
              <xm:f>Лист4!AF12:AF12</xm:f>
              <xm:sqref>AF13</xm:sqref>
            </x14:sparkline>
            <x14:sparkline>
              <xm:f>Лист4!AG12:AG12</xm:f>
              <xm:sqref>AG13</xm:sqref>
            </x14:sparkline>
            <x14:sparkline>
              <xm:f>Лист4!AH12:AH12</xm:f>
              <xm:sqref>AH13</xm:sqref>
            </x14:sparkline>
            <x14:sparkline>
              <xm:f>Лист4!AI12:AI12</xm:f>
              <xm:sqref>AI13</xm:sqref>
            </x14:sparkline>
            <x14:sparkline>
              <xm:f>Лист4!AJ12:AJ12</xm:f>
              <xm:sqref>AJ13</xm:sqref>
            </x14:sparkline>
          </x14:sparklines>
        </x14:sparklineGroup>
      </x14:sparklineGroup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Лист1</vt:lpstr>
      <vt:lpstr>Лист2</vt:lpstr>
      <vt:lpstr>Лист3</vt:lpstr>
      <vt:lpstr>Лист4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2021-03-04T12:33:36Z</dcterms:modified>
</cp:coreProperties>
</file>